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y coding" sheetId="2" state="visible" r:id="rId2"/>
    <sheet xmlns:r="http://schemas.openxmlformats.org/officeDocument/2006/relationships" name="Codex" sheetId="3" state="visible" r:id="rId3"/>
    <sheet xmlns:r="http://schemas.openxmlformats.org/officeDocument/2006/relationships" name="Comp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DE8EE"/>
      </patternFill>
    </fill>
    <fill>
      <patternFill patternType="solid">
        <fgColor rgb="00F5F7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Lab 7 coding sheet: Aguirre et al. (2015), Study 2, coded into Eisend et al.'s (2026) scheme</t>
        </is>
      </c>
    </row>
    <row r="2">
      <c r="A2" t="inlineStr"/>
    </row>
    <row r="3">
      <c r="A3" t="inlineStr">
        <is>
          <t>One row per effect (E1–E6), one column per coding field. Columns A–C say what to code; do not change them.</t>
        </is>
      </c>
    </row>
    <row r="4">
      <c r="A4" t="inlineStr">
        <is>
          <t>Row 2 of each coding tab says what goes in each column. Every cell is text: type values exactly as printed.</t>
        </is>
      </c>
    </row>
    <row r="5">
      <c r="A5" t="inlineStr"/>
    </row>
    <row r="6">
      <c r="A6" t="inlineStr">
        <is>
          <t>1. 'My coding' (by hand, before any AI sees the paper). Fill every cell, or write 'not reported' and say why in notes.</t>
        </is>
      </c>
    </row>
    <row r="7">
      <c r="A7" t="inlineStr">
        <is>
          <t xml:space="preserve">   Never enter zero or a number you calculated. Dropdowns are suggestions; you may type something else.</t>
        </is>
      </c>
    </row>
    <row r="8">
      <c r="A8" t="inlineStr">
        <is>
          <t>2. 'Codex'. Give Codex a BLANK copy of this file (a fresh download, never your filled copy), the Aguirre PDF and</t>
        </is>
      </c>
    </row>
    <row r="9">
      <c r="A9" t="inlineStr">
        <is>
          <t xml:space="preserve">   Eisend et al.'s Table 3. Ask it to fill rows 3–8 of its 'Codex' tab. Then copy those rows into the 'Codex' tab of</t>
        </is>
      </c>
    </row>
    <row r="10">
      <c r="A10" t="inlineStr">
        <is>
          <t xml:space="preserve">   your file (columns D onward, rows 3–8).</t>
        </is>
      </c>
    </row>
    <row r="11">
      <c r="A11" t="inlineStr">
        <is>
          <t>3. 'Compare' fills itself and marks every field where you and Codex differ (DIFF, shaded). For each DIFF, go to the page,</t>
        </is>
      </c>
    </row>
    <row r="12">
      <c r="A12" t="inlineStr">
        <is>
          <t xml:space="preserve">   record the page that settled it and who was right. Matches still need a page check on anything you were unsure of.</t>
        </is>
      </c>
    </row>
    <row r="13">
      <c r="A13" t="inlineStr">
        <is>
          <t>4. Submit this file (Lab7_YourName_coding.xlsx) with your Word template on Canvas.</t>
        </is>
      </c>
    </row>
    <row r="14">
      <c r="A14" t="inlineStr"/>
    </row>
    <row r="15">
      <c r="A15" t="inlineStr">
        <is>
          <t>Field names match Eisend et al.'s published file where the two overlap (outcome_label, operationalization, items,</t>
        </is>
      </c>
    </row>
    <row r="16">
      <c r="A16" t="inlineStr">
        <is>
          <t>scale_points, reliability, mean_control, mean_treatment, n_effect), so the team step can lay them side by side.</t>
        </is>
      </c>
    </row>
    <row r="17">
      <c r="A17" t="inlineStr">
        <is>
          <t>Codebook: Lab 7 hub card, Appendix 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20" customWidth="1" min="4" max="4"/>
    <col width="36" customWidth="1" min="5" max="5"/>
    <col width="8" customWidth="1" min="6" max="6"/>
    <col width="9" customWidth="1" min="7" max="7"/>
    <col width="11" customWidth="1" min="8" max="8"/>
    <col width="22" customWidth="1" min="9" max="9"/>
    <col width="10" customWidth="1" min="10" max="10"/>
    <col width="10" customWidth="1" min="11" max="11"/>
    <col width="11" customWidth="1" min="12" max="12"/>
    <col width="10" customWidth="1" min="13" max="13"/>
    <col width="8" customWidth="1" min="14" max="14"/>
    <col width="9" customWidth="1" min="15" max="15"/>
    <col width="26" customWidth="1" min="16" max="16"/>
    <col width="12" customWidth="1" min="17" max="17"/>
    <col width="10" customWidth="1" min="18" max="18"/>
    <col width="14" customWidth="1" min="19" max="19"/>
    <col width="9" customWidth="1" min="20" max="20"/>
    <col width="18" customWidth="1" min="21" max="21"/>
    <col width="30" customWidth="1" min="22" max="22"/>
  </cols>
  <sheetData>
    <row r="1">
      <c r="A1" s="2" t="inlineStr">
        <is>
          <t>effect_id</t>
        </is>
      </c>
      <c r="B1" s="2" t="inlineStr">
        <is>
          <t>outcome_to_code</t>
        </is>
      </c>
      <c r="C1" s="2" t="inlineStr">
        <is>
          <t>condition</t>
        </is>
      </c>
      <c r="D1" s="2" t="inlineStr">
        <is>
          <t>outcome_label</t>
        </is>
      </c>
      <c r="E1" s="2" t="inlineStr">
        <is>
          <t>operationalization</t>
        </is>
      </c>
      <c r="F1" s="2" t="inlineStr">
        <is>
          <t>items</t>
        </is>
      </c>
      <c r="G1" s="2" t="inlineStr">
        <is>
          <t>scale_points</t>
        </is>
      </c>
      <c r="H1" s="2" t="inlineStr">
        <is>
          <t>reliability</t>
        </is>
      </c>
      <c r="I1" s="2" t="inlineStr">
        <is>
          <t>category</t>
        </is>
      </c>
      <c r="J1" s="2" t="inlineStr">
        <is>
          <t>mean_control</t>
        </is>
      </c>
      <c r="K1" s="2" t="inlineStr">
        <is>
          <t>mean_treatment</t>
        </is>
      </c>
      <c r="L1" s="2" t="inlineStr">
        <is>
          <t>statistic</t>
        </is>
      </c>
      <c r="M1" s="2" t="inlineStr">
        <is>
          <t>stat_value</t>
        </is>
      </c>
      <c r="N1" s="2" t="inlineStr">
        <is>
          <t>df</t>
        </is>
      </c>
      <c r="O1" s="2" t="inlineStr">
        <is>
          <t>n_effect</t>
        </is>
      </c>
      <c r="P1" s="2" t="inlineStr">
        <is>
          <t>n_source</t>
        </is>
      </c>
      <c r="Q1" s="2" t="inlineStr">
        <is>
          <t>direction</t>
        </is>
      </c>
      <c r="R1" s="2" t="inlineStr">
        <is>
          <t>p_as_printed</t>
        </is>
      </c>
      <c r="S1" s="2" t="inlineStr">
        <is>
          <t>where_printed</t>
        </is>
      </c>
      <c r="T1" s="2" t="inlineStr">
        <is>
          <t>printed_page</t>
        </is>
      </c>
      <c r="U1" s="2" t="inlineStr">
        <is>
          <t>row_decision</t>
        </is>
      </c>
      <c r="V1" s="2" t="inlineStr">
        <is>
          <t>notes</t>
        </is>
      </c>
    </row>
    <row r="2" ht="48" customHeight="1">
      <c r="A2" s="3" t="inlineStr">
        <is>
          <t>Given: do not change</t>
        </is>
      </c>
      <c r="B2" s="3" t="inlineStr">
        <is>
          <t>Given: do not change</t>
        </is>
      </c>
      <c r="C2" s="3" t="inlineStr">
        <is>
          <t>Given: do not change</t>
        </is>
      </c>
      <c r="D2" s="3" t="inlineStr">
        <is>
          <t>Outcome as the authors label it</t>
        </is>
      </c>
      <c r="E2" s="3" t="inlineStr">
        <is>
          <t>Item wording, copied (first item + count is fine for multi-item scales)</t>
        </is>
      </c>
      <c r="F2" s="3" t="inlineStr">
        <is>
          <t>Number of items</t>
        </is>
      </c>
      <c r="G2" s="3" t="inlineStr">
        <is>
          <t>Scale points, or 'not stated'</t>
        </is>
      </c>
      <c r="H2" s="3" t="inlineStr">
        <is>
          <t>Alpha as printed, 'single item' or 'not reported'</t>
        </is>
      </c>
      <c r="I2" s="3" t="inlineStr">
        <is>
          <t>Eisend Table 3: code and name, or 'manipulation check'</t>
        </is>
      </c>
      <c r="J2" s="3" t="inlineStr">
        <is>
          <t>Less personalized mean, as printed</t>
        </is>
      </c>
      <c r="K2" s="3" t="inlineStr">
        <is>
          <t>More personalized mean, as printed</t>
        </is>
      </c>
      <c r="L2" s="3" t="inlineStr">
        <is>
          <t>Test type</t>
        </is>
      </c>
      <c r="M2" s="3" t="inlineStr">
        <is>
          <t>Value exactly as printed (keep the sign)</t>
        </is>
      </c>
      <c r="N2" s="3" t="inlineStr">
        <is>
          <t>df for this comparison</t>
        </is>
      </c>
      <c r="O2" s="3" t="inlineStr">
        <is>
          <t>N for this comparison</t>
        </is>
      </c>
      <c r="P2" s="3" t="inlineStr">
        <is>
          <t>'printed', or your assumption and where it came from</t>
        </is>
      </c>
      <c r="Q2" s="3" t="inlineStr">
        <is>
          <t>From the means</t>
        </is>
      </c>
      <c r="R2" s="3" t="inlineStr">
        <is>
          <t>Exact or '&lt; .001'</t>
        </is>
      </c>
      <c r="S2" s="3" t="inlineStr">
        <is>
          <t>Where the values appear</t>
        </is>
      </c>
      <c r="T2" s="3" t="inlineStr">
        <is>
          <t>Journal page, not the PDF counter</t>
        </is>
      </c>
      <c r="U2" s="3" t="inlineStr">
        <is>
          <t>Enter, or the flag</t>
        </is>
      </c>
      <c r="V2" s="3" t="inlineStr">
        <is>
          <t>Flag reason, open question, or what you checked</t>
        </is>
      </c>
    </row>
    <row r="3" ht="60" customHeight="1">
      <c r="A3" s="4" t="inlineStr">
        <is>
          <t>E1</t>
        </is>
      </c>
      <c r="B3" s="4" t="inlineStr">
        <is>
          <t>Manipulation check: perceived personalization</t>
        </is>
      </c>
      <c r="C3" s="4" t="inlineStr">
        <is>
          <t>All conditions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60" customHeight="1">
      <c r="A4" s="4" t="inlineStr">
        <is>
          <t>E2</t>
        </is>
      </c>
      <c r="B4" s="4" t="inlineStr">
        <is>
          <t>Click-through intentions</t>
        </is>
      </c>
      <c r="C4" s="4" t="inlineStr">
        <is>
          <t>Facebook · overt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 ht="60" customHeight="1">
      <c r="A5" s="4" t="inlineStr">
        <is>
          <t>E3</t>
        </is>
      </c>
      <c r="B5" s="4" t="inlineStr">
        <is>
          <t>Click-through intentions</t>
        </is>
      </c>
      <c r="C5" s="4" t="inlineStr">
        <is>
          <t>Facebook · covert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 ht="60" customHeight="1">
      <c r="A6" s="4" t="inlineStr">
        <is>
          <t>E4</t>
        </is>
      </c>
      <c r="B6" s="4" t="inlineStr">
        <is>
          <t>Click-through intentions</t>
        </is>
      </c>
      <c r="C6" s="4" t="inlineStr">
        <is>
          <t>CNN · overt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 ht="60" customHeight="1">
      <c r="A7" s="4" t="inlineStr">
        <is>
          <t>E5</t>
        </is>
      </c>
      <c r="B7" s="4" t="inlineStr">
        <is>
          <t>Click-through intentions</t>
        </is>
      </c>
      <c r="C7" s="4" t="inlineStr">
        <is>
          <t>CNN · covert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 ht="60" customHeight="1">
      <c r="A8" s="4" t="inlineStr">
        <is>
          <t>E6</t>
        </is>
      </c>
      <c r="B8" s="4" t="inlineStr">
        <is>
          <t>Perceived vulnerability</t>
        </is>
      </c>
      <c r="C8" s="4" t="inlineStr">
        <is>
          <t>Facebook · covert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</sheetData>
  <dataValidations count="4">
    <dataValidation sqref="L3:L8" showDropDown="0" showInputMessage="0" showErrorMessage="0" allowBlank="1" type="list">
      <formula1>"F,t,z,not reported"</formula1>
    </dataValidation>
    <dataValidation sqref="Q3:Q8" showDropDown="0" showInputMessage="0" showErrorMessage="0" allowBlank="1" type="list">
      <formula1>"positive,negative,no difference,cannot tell"</formula1>
    </dataValidation>
    <dataValidation sqref="S3:S8" showDropDown="0" showInputMessage="0" showErrorMessage="0" allowBlank="1" type="list">
      <formula1>"text,footnote,table,figure,footnote + figure"</formula1>
    </dataValidation>
    <dataValidation sqref="U3:U8" showDropDown="0" showInputMessage="0" showErrorMessage="0" allowBlank="1" type="list">
      <formula1>"enter,flag: pooled,flag: figure-only,flag: missing statistic"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20" customWidth="1" min="4" max="4"/>
    <col width="36" customWidth="1" min="5" max="5"/>
    <col width="8" customWidth="1" min="6" max="6"/>
    <col width="9" customWidth="1" min="7" max="7"/>
    <col width="11" customWidth="1" min="8" max="8"/>
    <col width="22" customWidth="1" min="9" max="9"/>
    <col width="10" customWidth="1" min="10" max="10"/>
    <col width="10" customWidth="1" min="11" max="11"/>
    <col width="11" customWidth="1" min="12" max="12"/>
    <col width="10" customWidth="1" min="13" max="13"/>
    <col width="8" customWidth="1" min="14" max="14"/>
    <col width="9" customWidth="1" min="15" max="15"/>
    <col width="26" customWidth="1" min="16" max="16"/>
    <col width="12" customWidth="1" min="17" max="17"/>
    <col width="10" customWidth="1" min="18" max="18"/>
    <col width="14" customWidth="1" min="19" max="19"/>
    <col width="9" customWidth="1" min="20" max="20"/>
    <col width="18" customWidth="1" min="21" max="21"/>
    <col width="30" customWidth="1" min="22" max="22"/>
  </cols>
  <sheetData>
    <row r="1">
      <c r="A1" s="2" t="inlineStr">
        <is>
          <t>effect_id</t>
        </is>
      </c>
      <c r="B1" s="2" t="inlineStr">
        <is>
          <t>outcome_to_code</t>
        </is>
      </c>
      <c r="C1" s="2" t="inlineStr">
        <is>
          <t>condition</t>
        </is>
      </c>
      <c r="D1" s="2" t="inlineStr">
        <is>
          <t>outcome_label</t>
        </is>
      </c>
      <c r="E1" s="2" t="inlineStr">
        <is>
          <t>operationalization</t>
        </is>
      </c>
      <c r="F1" s="2" t="inlineStr">
        <is>
          <t>items</t>
        </is>
      </c>
      <c r="G1" s="2" t="inlineStr">
        <is>
          <t>scale_points</t>
        </is>
      </c>
      <c r="H1" s="2" t="inlineStr">
        <is>
          <t>reliability</t>
        </is>
      </c>
      <c r="I1" s="2" t="inlineStr">
        <is>
          <t>category</t>
        </is>
      </c>
      <c r="J1" s="2" t="inlineStr">
        <is>
          <t>mean_control</t>
        </is>
      </c>
      <c r="K1" s="2" t="inlineStr">
        <is>
          <t>mean_treatment</t>
        </is>
      </c>
      <c r="L1" s="2" t="inlineStr">
        <is>
          <t>statistic</t>
        </is>
      </c>
      <c r="M1" s="2" t="inlineStr">
        <is>
          <t>stat_value</t>
        </is>
      </c>
      <c r="N1" s="2" t="inlineStr">
        <is>
          <t>df</t>
        </is>
      </c>
      <c r="O1" s="2" t="inlineStr">
        <is>
          <t>n_effect</t>
        </is>
      </c>
      <c r="P1" s="2" t="inlineStr">
        <is>
          <t>n_source</t>
        </is>
      </c>
      <c r="Q1" s="2" t="inlineStr">
        <is>
          <t>direction</t>
        </is>
      </c>
      <c r="R1" s="2" t="inlineStr">
        <is>
          <t>p_as_printed</t>
        </is>
      </c>
      <c r="S1" s="2" t="inlineStr">
        <is>
          <t>where_printed</t>
        </is>
      </c>
      <c r="T1" s="2" t="inlineStr">
        <is>
          <t>printed_page</t>
        </is>
      </c>
      <c r="U1" s="2" t="inlineStr">
        <is>
          <t>row_decision</t>
        </is>
      </c>
      <c r="V1" s="2" t="inlineStr">
        <is>
          <t>notes</t>
        </is>
      </c>
    </row>
    <row r="2" ht="48" customHeight="1">
      <c r="A2" s="3" t="inlineStr">
        <is>
          <t>Given: do not change</t>
        </is>
      </c>
      <c r="B2" s="3" t="inlineStr">
        <is>
          <t>Given: do not change</t>
        </is>
      </c>
      <c r="C2" s="3" t="inlineStr">
        <is>
          <t>Given: do not change</t>
        </is>
      </c>
      <c r="D2" s="3" t="inlineStr">
        <is>
          <t>Outcome as the authors label it</t>
        </is>
      </c>
      <c r="E2" s="3" t="inlineStr">
        <is>
          <t>Item wording, copied (first item + count is fine for multi-item scales)</t>
        </is>
      </c>
      <c r="F2" s="3" t="inlineStr">
        <is>
          <t>Number of items</t>
        </is>
      </c>
      <c r="G2" s="3" t="inlineStr">
        <is>
          <t>Scale points, or 'not stated'</t>
        </is>
      </c>
      <c r="H2" s="3" t="inlineStr">
        <is>
          <t>Alpha as printed, 'single item' or 'not reported'</t>
        </is>
      </c>
      <c r="I2" s="3" t="inlineStr">
        <is>
          <t>Eisend Table 3: code and name, or 'manipulation check'</t>
        </is>
      </c>
      <c r="J2" s="3" t="inlineStr">
        <is>
          <t>Less personalized mean, as printed</t>
        </is>
      </c>
      <c r="K2" s="3" t="inlineStr">
        <is>
          <t>More personalized mean, as printed</t>
        </is>
      </c>
      <c r="L2" s="3" t="inlineStr">
        <is>
          <t>Test type</t>
        </is>
      </c>
      <c r="M2" s="3" t="inlineStr">
        <is>
          <t>Value exactly as printed (keep the sign)</t>
        </is>
      </c>
      <c r="N2" s="3" t="inlineStr">
        <is>
          <t>df for this comparison</t>
        </is>
      </c>
      <c r="O2" s="3" t="inlineStr">
        <is>
          <t>N for this comparison</t>
        </is>
      </c>
      <c r="P2" s="3" t="inlineStr">
        <is>
          <t>'printed', or your assumption and where it came from</t>
        </is>
      </c>
      <c r="Q2" s="3" t="inlineStr">
        <is>
          <t>From the means</t>
        </is>
      </c>
      <c r="R2" s="3" t="inlineStr">
        <is>
          <t>Exact or '&lt; .001'</t>
        </is>
      </c>
      <c r="S2" s="3" t="inlineStr">
        <is>
          <t>Where the values appear</t>
        </is>
      </c>
      <c r="T2" s="3" t="inlineStr">
        <is>
          <t>Journal page, not the PDF counter</t>
        </is>
      </c>
      <c r="U2" s="3" t="inlineStr">
        <is>
          <t>Enter, or the flag</t>
        </is>
      </c>
      <c r="V2" s="3" t="inlineStr">
        <is>
          <t>Flag reason, open question, or what you checked</t>
        </is>
      </c>
    </row>
    <row r="3" ht="60" customHeight="1">
      <c r="A3" s="4" t="inlineStr">
        <is>
          <t>E1</t>
        </is>
      </c>
      <c r="B3" s="4" t="inlineStr">
        <is>
          <t>Manipulation check: perceived personalization</t>
        </is>
      </c>
      <c r="C3" s="4" t="inlineStr">
        <is>
          <t>All conditions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60" customHeight="1">
      <c r="A4" s="4" t="inlineStr">
        <is>
          <t>E2</t>
        </is>
      </c>
      <c r="B4" s="4" t="inlineStr">
        <is>
          <t>Click-through intentions</t>
        </is>
      </c>
      <c r="C4" s="4" t="inlineStr">
        <is>
          <t>Facebook · overt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 ht="60" customHeight="1">
      <c r="A5" s="4" t="inlineStr">
        <is>
          <t>E3</t>
        </is>
      </c>
      <c r="B5" s="4" t="inlineStr">
        <is>
          <t>Click-through intentions</t>
        </is>
      </c>
      <c r="C5" s="4" t="inlineStr">
        <is>
          <t>Facebook · covert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 ht="60" customHeight="1">
      <c r="A6" s="4" t="inlineStr">
        <is>
          <t>E4</t>
        </is>
      </c>
      <c r="B6" s="4" t="inlineStr">
        <is>
          <t>Click-through intentions</t>
        </is>
      </c>
      <c r="C6" s="4" t="inlineStr">
        <is>
          <t>CNN · overt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 ht="60" customHeight="1">
      <c r="A7" s="4" t="inlineStr">
        <is>
          <t>E5</t>
        </is>
      </c>
      <c r="B7" s="4" t="inlineStr">
        <is>
          <t>Click-through intentions</t>
        </is>
      </c>
      <c r="C7" s="4" t="inlineStr">
        <is>
          <t>CNN · covert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 ht="60" customHeight="1">
      <c r="A8" s="4" t="inlineStr">
        <is>
          <t>E6</t>
        </is>
      </c>
      <c r="B8" s="4" t="inlineStr">
        <is>
          <t>Perceived vulnerability</t>
        </is>
      </c>
      <c r="C8" s="4" t="inlineStr">
        <is>
          <t>Facebook · covert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</sheetData>
  <dataValidations count="4">
    <dataValidation sqref="L3:L8" showDropDown="0" showInputMessage="0" showErrorMessage="0" allowBlank="1" type="list">
      <formula1>"F,t,z,not reported"</formula1>
    </dataValidation>
    <dataValidation sqref="Q3:Q8" showDropDown="0" showInputMessage="0" showErrorMessage="0" allowBlank="1" type="list">
      <formula1>"positive,negative,no difference,cannot tell"</formula1>
    </dataValidation>
    <dataValidation sqref="S3:S8" showDropDown="0" showInputMessage="0" showErrorMessage="0" allowBlank="1" type="list">
      <formula1>"text,footnote,table,figure,footnote + figure"</formula1>
    </dataValidation>
    <dataValidation sqref="U3:U8" showDropDown="0" showInputMessage="0" showErrorMessage="0" allowBlank="1" type="list">
      <formula1>"enter,flag: pooled,flag: figure-only,flag: missing statistic"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34" customWidth="1" min="4" max="4"/>
    <col width="9" customWidth="1" min="5" max="5"/>
    <col width="16" customWidth="1" min="6" max="6"/>
    <col width="14" customWidth="1" min="7" max="7"/>
  </cols>
  <sheetData>
    <row r="1">
      <c r="A1" s="6" t="inlineStr">
        <is>
          <t>Compare: filled automatically from 'My coding' and 'Codex'. Settle every DIFF on the page of the article.</t>
        </is>
      </c>
    </row>
    <row r="2">
      <c r="A2" s="6" t="inlineStr">
        <is>
          <t>Fields compared</t>
        </is>
      </c>
      <c r="B2">
        <f>COUNTIF(E5:E118,"match")+COUNTIF(E5:E118,"DIFF")</f>
        <v/>
      </c>
      <c r="C2" s="6" t="inlineStr">
        <is>
          <t>Matched</t>
        </is>
      </c>
      <c r="D2">
        <f>COUNTIF(E5:E118,"match")</f>
        <v/>
      </c>
    </row>
    <row r="4">
      <c r="A4" s="2" t="inlineStr">
        <is>
          <t>effect_id</t>
        </is>
      </c>
      <c r="B4" s="2" t="inlineStr">
        <is>
          <t>field</t>
        </is>
      </c>
      <c r="C4" s="2" t="inlineStr">
        <is>
          <t>my_entry</t>
        </is>
      </c>
      <c r="D4" s="2" t="inlineStr">
        <is>
          <t>codex_entry</t>
        </is>
      </c>
      <c r="E4" s="2" t="inlineStr">
        <is>
          <t>result</t>
        </is>
      </c>
      <c r="F4" s="2" t="inlineStr">
        <is>
          <t>page_that_settled_it</t>
        </is>
      </c>
      <c r="G4" s="2" t="inlineStr">
        <is>
          <t>who_was_right</t>
        </is>
      </c>
    </row>
    <row r="5">
      <c r="A5" s="4" t="inlineStr">
        <is>
          <t>E1</t>
        </is>
      </c>
      <c r="B5" s="4" t="inlineStr">
        <is>
          <t>outcome_label</t>
        </is>
      </c>
      <c r="C5" s="7">
        <f>IF('My coding'!D3="","",'My coding'!D3)</f>
        <v/>
      </c>
      <c r="D5" s="7">
        <f>IF(Codex!D3="","",Codex!D3)</f>
        <v/>
      </c>
      <c r="E5" s="7">
        <f>IF(AND('My coding'!D3="",Codex!D3=""),"",IF(TRIM(LOWER('My coding'!D3&amp;""))=TRIM(LOWER(Codex!D3&amp;"")),"match","DIFF"))</f>
        <v/>
      </c>
      <c r="F5" s="7" t="n"/>
      <c r="G5" s="7" t="n"/>
    </row>
    <row r="6">
      <c r="A6" s="4" t="inlineStr">
        <is>
          <t>E1</t>
        </is>
      </c>
      <c r="B6" s="4" t="inlineStr">
        <is>
          <t>operationalization</t>
        </is>
      </c>
      <c r="C6" s="7">
        <f>IF('My coding'!E3="","",'My coding'!E3)</f>
        <v/>
      </c>
      <c r="D6" s="7">
        <f>IF(Codex!E3="","",Codex!E3)</f>
        <v/>
      </c>
      <c r="E6" s="7">
        <f>IF(AND('My coding'!E3="",Codex!E3=""),"",IF(TRIM(LOWER('My coding'!E3&amp;""))=TRIM(LOWER(Codex!E3&amp;"")),"match","DIFF"))</f>
        <v/>
      </c>
      <c r="F6" s="7" t="n"/>
      <c r="G6" s="7" t="n"/>
    </row>
    <row r="7">
      <c r="A7" s="4" t="inlineStr">
        <is>
          <t>E1</t>
        </is>
      </c>
      <c r="B7" s="4" t="inlineStr">
        <is>
          <t>items</t>
        </is>
      </c>
      <c r="C7" s="7">
        <f>IF('My coding'!F3="","",'My coding'!F3)</f>
        <v/>
      </c>
      <c r="D7" s="7">
        <f>IF(Codex!F3="","",Codex!F3)</f>
        <v/>
      </c>
      <c r="E7" s="7">
        <f>IF(AND('My coding'!F3="",Codex!F3=""),"",IF(TRIM(LOWER('My coding'!F3&amp;""))=TRIM(LOWER(Codex!F3&amp;"")),"match","DIFF"))</f>
        <v/>
      </c>
      <c r="F7" s="7" t="n"/>
      <c r="G7" s="7" t="n"/>
    </row>
    <row r="8">
      <c r="A8" s="4" t="inlineStr">
        <is>
          <t>E1</t>
        </is>
      </c>
      <c r="B8" s="4" t="inlineStr">
        <is>
          <t>scale_points</t>
        </is>
      </c>
      <c r="C8" s="7">
        <f>IF('My coding'!G3="","",'My coding'!G3)</f>
        <v/>
      </c>
      <c r="D8" s="7">
        <f>IF(Codex!G3="","",Codex!G3)</f>
        <v/>
      </c>
      <c r="E8" s="7">
        <f>IF(AND('My coding'!G3="",Codex!G3=""),"",IF(TRIM(LOWER('My coding'!G3&amp;""))=TRIM(LOWER(Codex!G3&amp;"")),"match","DIFF"))</f>
        <v/>
      </c>
      <c r="F8" s="7" t="n"/>
      <c r="G8" s="7" t="n"/>
    </row>
    <row r="9">
      <c r="A9" s="4" t="inlineStr">
        <is>
          <t>E1</t>
        </is>
      </c>
      <c r="B9" s="4" t="inlineStr">
        <is>
          <t>reliability</t>
        </is>
      </c>
      <c r="C9" s="7">
        <f>IF('My coding'!H3="","",'My coding'!H3)</f>
        <v/>
      </c>
      <c r="D9" s="7">
        <f>IF(Codex!H3="","",Codex!H3)</f>
        <v/>
      </c>
      <c r="E9" s="7">
        <f>IF(AND('My coding'!H3="",Codex!H3=""),"",IF(TRIM(LOWER('My coding'!H3&amp;""))=TRIM(LOWER(Codex!H3&amp;"")),"match","DIFF"))</f>
        <v/>
      </c>
      <c r="F9" s="7" t="n"/>
      <c r="G9" s="7" t="n"/>
    </row>
    <row r="10">
      <c r="A10" s="4" t="inlineStr">
        <is>
          <t>E1</t>
        </is>
      </c>
      <c r="B10" s="4" t="inlineStr">
        <is>
          <t>category</t>
        </is>
      </c>
      <c r="C10" s="7">
        <f>IF('My coding'!I3="","",'My coding'!I3)</f>
        <v/>
      </c>
      <c r="D10" s="7">
        <f>IF(Codex!I3="","",Codex!I3)</f>
        <v/>
      </c>
      <c r="E10" s="7">
        <f>IF(AND('My coding'!I3="",Codex!I3=""),"",IF(TRIM(LOWER('My coding'!I3&amp;""))=TRIM(LOWER(Codex!I3&amp;"")),"match","DIFF"))</f>
        <v/>
      </c>
      <c r="F10" s="7" t="n"/>
      <c r="G10" s="7" t="n"/>
    </row>
    <row r="11">
      <c r="A11" s="4" t="inlineStr">
        <is>
          <t>E1</t>
        </is>
      </c>
      <c r="B11" s="4" t="inlineStr">
        <is>
          <t>mean_control</t>
        </is>
      </c>
      <c r="C11" s="7">
        <f>IF('My coding'!J3="","",'My coding'!J3)</f>
        <v/>
      </c>
      <c r="D11" s="7">
        <f>IF(Codex!J3="","",Codex!J3)</f>
        <v/>
      </c>
      <c r="E11" s="7">
        <f>IF(AND('My coding'!J3="",Codex!J3=""),"",IF(TRIM(LOWER('My coding'!J3&amp;""))=TRIM(LOWER(Codex!J3&amp;"")),"match","DIFF"))</f>
        <v/>
      </c>
      <c r="F11" s="7" t="n"/>
      <c r="G11" s="7" t="n"/>
    </row>
    <row r="12">
      <c r="A12" s="4" t="inlineStr">
        <is>
          <t>E1</t>
        </is>
      </c>
      <c r="B12" s="4" t="inlineStr">
        <is>
          <t>mean_treatment</t>
        </is>
      </c>
      <c r="C12" s="7">
        <f>IF('My coding'!K3="","",'My coding'!K3)</f>
        <v/>
      </c>
      <c r="D12" s="7">
        <f>IF(Codex!K3="","",Codex!K3)</f>
        <v/>
      </c>
      <c r="E12" s="7">
        <f>IF(AND('My coding'!K3="",Codex!K3=""),"",IF(TRIM(LOWER('My coding'!K3&amp;""))=TRIM(LOWER(Codex!K3&amp;"")),"match","DIFF"))</f>
        <v/>
      </c>
      <c r="F12" s="7" t="n"/>
      <c r="G12" s="7" t="n"/>
    </row>
    <row r="13">
      <c r="A13" s="4" t="inlineStr">
        <is>
          <t>E1</t>
        </is>
      </c>
      <c r="B13" s="4" t="inlineStr">
        <is>
          <t>statistic</t>
        </is>
      </c>
      <c r="C13" s="7">
        <f>IF('My coding'!L3="","",'My coding'!L3)</f>
        <v/>
      </c>
      <c r="D13" s="7">
        <f>IF(Codex!L3="","",Codex!L3)</f>
        <v/>
      </c>
      <c r="E13" s="7">
        <f>IF(AND('My coding'!L3="",Codex!L3=""),"",IF(TRIM(LOWER('My coding'!L3&amp;""))=TRIM(LOWER(Codex!L3&amp;"")),"match","DIFF"))</f>
        <v/>
      </c>
      <c r="F13" s="7" t="n"/>
      <c r="G13" s="7" t="n"/>
    </row>
    <row r="14">
      <c r="A14" s="4" t="inlineStr">
        <is>
          <t>E1</t>
        </is>
      </c>
      <c r="B14" s="4" t="inlineStr">
        <is>
          <t>stat_value</t>
        </is>
      </c>
      <c r="C14" s="7">
        <f>IF('My coding'!M3="","",'My coding'!M3)</f>
        <v/>
      </c>
      <c r="D14" s="7">
        <f>IF(Codex!M3="","",Codex!M3)</f>
        <v/>
      </c>
      <c r="E14" s="7">
        <f>IF(AND('My coding'!M3="",Codex!M3=""),"",IF(TRIM(LOWER('My coding'!M3&amp;""))=TRIM(LOWER(Codex!M3&amp;"")),"match","DIFF"))</f>
        <v/>
      </c>
      <c r="F14" s="7" t="n"/>
      <c r="G14" s="7" t="n"/>
    </row>
    <row r="15">
      <c r="A15" s="4" t="inlineStr">
        <is>
          <t>E1</t>
        </is>
      </c>
      <c r="B15" s="4" t="inlineStr">
        <is>
          <t>df</t>
        </is>
      </c>
      <c r="C15" s="7">
        <f>IF('My coding'!N3="","",'My coding'!N3)</f>
        <v/>
      </c>
      <c r="D15" s="7">
        <f>IF(Codex!N3="","",Codex!N3)</f>
        <v/>
      </c>
      <c r="E15" s="7">
        <f>IF(AND('My coding'!N3="",Codex!N3=""),"",IF(TRIM(LOWER('My coding'!N3&amp;""))=TRIM(LOWER(Codex!N3&amp;"")),"match","DIFF"))</f>
        <v/>
      </c>
      <c r="F15" s="7" t="n"/>
      <c r="G15" s="7" t="n"/>
    </row>
    <row r="16">
      <c r="A16" s="4" t="inlineStr">
        <is>
          <t>E1</t>
        </is>
      </c>
      <c r="B16" s="4" t="inlineStr">
        <is>
          <t>n_effect</t>
        </is>
      </c>
      <c r="C16" s="7">
        <f>IF('My coding'!O3="","",'My coding'!O3)</f>
        <v/>
      </c>
      <c r="D16" s="7">
        <f>IF(Codex!O3="","",Codex!O3)</f>
        <v/>
      </c>
      <c r="E16" s="7">
        <f>IF(AND('My coding'!O3="",Codex!O3=""),"",IF(TRIM(LOWER('My coding'!O3&amp;""))=TRIM(LOWER(Codex!O3&amp;"")),"match","DIFF"))</f>
        <v/>
      </c>
      <c r="F16" s="7" t="n"/>
      <c r="G16" s="7" t="n"/>
    </row>
    <row r="17">
      <c r="A17" s="4" t="inlineStr">
        <is>
          <t>E1</t>
        </is>
      </c>
      <c r="B17" s="4" t="inlineStr">
        <is>
          <t>n_source</t>
        </is>
      </c>
      <c r="C17" s="7">
        <f>IF('My coding'!P3="","",'My coding'!P3)</f>
        <v/>
      </c>
      <c r="D17" s="7">
        <f>IF(Codex!P3="","",Codex!P3)</f>
        <v/>
      </c>
      <c r="E17" s="7">
        <f>IF(AND('My coding'!P3="",Codex!P3=""),"",IF(TRIM(LOWER('My coding'!P3&amp;""))=TRIM(LOWER(Codex!P3&amp;"")),"match","DIFF"))</f>
        <v/>
      </c>
      <c r="F17" s="7" t="n"/>
      <c r="G17" s="7" t="n"/>
    </row>
    <row r="18">
      <c r="A18" s="4" t="inlineStr">
        <is>
          <t>E1</t>
        </is>
      </c>
      <c r="B18" s="4" t="inlineStr">
        <is>
          <t>direction</t>
        </is>
      </c>
      <c r="C18" s="7">
        <f>IF('My coding'!Q3="","",'My coding'!Q3)</f>
        <v/>
      </c>
      <c r="D18" s="7">
        <f>IF(Codex!Q3="","",Codex!Q3)</f>
        <v/>
      </c>
      <c r="E18" s="7">
        <f>IF(AND('My coding'!Q3="",Codex!Q3=""),"",IF(TRIM(LOWER('My coding'!Q3&amp;""))=TRIM(LOWER(Codex!Q3&amp;"")),"match","DIFF"))</f>
        <v/>
      </c>
      <c r="F18" s="7" t="n"/>
      <c r="G18" s="7" t="n"/>
    </row>
    <row r="19">
      <c r="A19" s="4" t="inlineStr">
        <is>
          <t>E1</t>
        </is>
      </c>
      <c r="B19" s="4" t="inlineStr">
        <is>
          <t>p_as_printed</t>
        </is>
      </c>
      <c r="C19" s="7">
        <f>IF('My coding'!R3="","",'My coding'!R3)</f>
        <v/>
      </c>
      <c r="D19" s="7">
        <f>IF(Codex!R3="","",Codex!R3)</f>
        <v/>
      </c>
      <c r="E19" s="7">
        <f>IF(AND('My coding'!R3="",Codex!R3=""),"",IF(TRIM(LOWER('My coding'!R3&amp;""))=TRIM(LOWER(Codex!R3&amp;"")),"match","DIFF"))</f>
        <v/>
      </c>
      <c r="F19" s="7" t="n"/>
      <c r="G19" s="7" t="n"/>
    </row>
    <row r="20">
      <c r="A20" s="4" t="inlineStr">
        <is>
          <t>E1</t>
        </is>
      </c>
      <c r="B20" s="4" t="inlineStr">
        <is>
          <t>where_printed</t>
        </is>
      </c>
      <c r="C20" s="7">
        <f>IF('My coding'!S3="","",'My coding'!S3)</f>
        <v/>
      </c>
      <c r="D20" s="7">
        <f>IF(Codex!S3="","",Codex!S3)</f>
        <v/>
      </c>
      <c r="E20" s="7">
        <f>IF(AND('My coding'!S3="",Codex!S3=""),"",IF(TRIM(LOWER('My coding'!S3&amp;""))=TRIM(LOWER(Codex!S3&amp;"")),"match","DIFF"))</f>
        <v/>
      </c>
      <c r="F20" s="7" t="n"/>
      <c r="G20" s="7" t="n"/>
    </row>
    <row r="21">
      <c r="A21" s="4" t="inlineStr">
        <is>
          <t>E1</t>
        </is>
      </c>
      <c r="B21" s="4" t="inlineStr">
        <is>
          <t>printed_page</t>
        </is>
      </c>
      <c r="C21" s="7">
        <f>IF('My coding'!T3="","",'My coding'!T3)</f>
        <v/>
      </c>
      <c r="D21" s="7">
        <f>IF(Codex!T3="","",Codex!T3)</f>
        <v/>
      </c>
      <c r="E21" s="7">
        <f>IF(AND('My coding'!T3="",Codex!T3=""),"",IF(TRIM(LOWER('My coding'!T3&amp;""))=TRIM(LOWER(Codex!T3&amp;"")),"match","DIFF"))</f>
        <v/>
      </c>
      <c r="F21" s="7" t="n"/>
      <c r="G21" s="7" t="n"/>
    </row>
    <row r="22">
      <c r="A22" s="4" t="inlineStr">
        <is>
          <t>E1</t>
        </is>
      </c>
      <c r="B22" s="4" t="inlineStr">
        <is>
          <t>row_decision</t>
        </is>
      </c>
      <c r="C22" s="7">
        <f>IF('My coding'!U3="","",'My coding'!U3)</f>
        <v/>
      </c>
      <c r="D22" s="7">
        <f>IF(Codex!U3="","",Codex!U3)</f>
        <v/>
      </c>
      <c r="E22" s="7">
        <f>IF(AND('My coding'!U3="",Codex!U3=""),"",IF(TRIM(LOWER('My coding'!U3&amp;""))=TRIM(LOWER(Codex!U3&amp;"")),"match","DIFF"))</f>
        <v/>
      </c>
      <c r="F22" s="7" t="n"/>
      <c r="G22" s="7" t="n"/>
    </row>
    <row r="23">
      <c r="A23" s="4" t="inlineStr">
        <is>
          <t>E1</t>
        </is>
      </c>
      <c r="B23" s="4" t="inlineStr">
        <is>
          <t>notes</t>
        </is>
      </c>
      <c r="C23" s="7">
        <f>IF('My coding'!V3="","",'My coding'!V3)</f>
        <v/>
      </c>
      <c r="D23" s="7">
        <f>IF(Codex!V3="","",Codex!V3)</f>
        <v/>
      </c>
      <c r="E23" s="7">
        <f>IF(AND('My coding'!V3="",Codex!V3=""),"",IF(TRIM(LOWER('My coding'!V3&amp;""))=TRIM(LOWER(Codex!V3&amp;"")),"match","DIFF"))</f>
        <v/>
      </c>
      <c r="F23" s="7" t="n"/>
      <c r="G23" s="7" t="n"/>
    </row>
    <row r="24">
      <c r="A24" s="4" t="inlineStr">
        <is>
          <t>E2</t>
        </is>
      </c>
      <c r="B24" s="4" t="inlineStr">
        <is>
          <t>outcome_label</t>
        </is>
      </c>
      <c r="C24" s="7">
        <f>IF('My coding'!D4="","",'My coding'!D4)</f>
        <v/>
      </c>
      <c r="D24" s="7">
        <f>IF(Codex!D4="","",Codex!D4)</f>
        <v/>
      </c>
      <c r="E24" s="7">
        <f>IF(AND('My coding'!D4="",Codex!D4=""),"",IF(TRIM(LOWER('My coding'!D4&amp;""))=TRIM(LOWER(Codex!D4&amp;"")),"match","DIFF"))</f>
        <v/>
      </c>
      <c r="F24" s="7" t="n"/>
      <c r="G24" s="7" t="n"/>
    </row>
    <row r="25">
      <c r="A25" s="4" t="inlineStr">
        <is>
          <t>E2</t>
        </is>
      </c>
      <c r="B25" s="4" t="inlineStr">
        <is>
          <t>operationalization</t>
        </is>
      </c>
      <c r="C25" s="7">
        <f>IF('My coding'!E4="","",'My coding'!E4)</f>
        <v/>
      </c>
      <c r="D25" s="7">
        <f>IF(Codex!E4="","",Codex!E4)</f>
        <v/>
      </c>
      <c r="E25" s="7">
        <f>IF(AND('My coding'!E4="",Codex!E4=""),"",IF(TRIM(LOWER('My coding'!E4&amp;""))=TRIM(LOWER(Codex!E4&amp;"")),"match","DIFF"))</f>
        <v/>
      </c>
      <c r="F25" s="7" t="n"/>
      <c r="G25" s="7" t="n"/>
    </row>
    <row r="26">
      <c r="A26" s="4" t="inlineStr">
        <is>
          <t>E2</t>
        </is>
      </c>
      <c r="B26" s="4" t="inlineStr">
        <is>
          <t>items</t>
        </is>
      </c>
      <c r="C26" s="7">
        <f>IF('My coding'!F4="","",'My coding'!F4)</f>
        <v/>
      </c>
      <c r="D26" s="7">
        <f>IF(Codex!F4="","",Codex!F4)</f>
        <v/>
      </c>
      <c r="E26" s="7">
        <f>IF(AND('My coding'!F4="",Codex!F4=""),"",IF(TRIM(LOWER('My coding'!F4&amp;""))=TRIM(LOWER(Codex!F4&amp;"")),"match","DIFF"))</f>
        <v/>
      </c>
      <c r="F26" s="7" t="n"/>
      <c r="G26" s="7" t="n"/>
    </row>
    <row r="27">
      <c r="A27" s="4" t="inlineStr">
        <is>
          <t>E2</t>
        </is>
      </c>
      <c r="B27" s="4" t="inlineStr">
        <is>
          <t>scale_points</t>
        </is>
      </c>
      <c r="C27" s="7">
        <f>IF('My coding'!G4="","",'My coding'!G4)</f>
        <v/>
      </c>
      <c r="D27" s="7">
        <f>IF(Codex!G4="","",Codex!G4)</f>
        <v/>
      </c>
      <c r="E27" s="7">
        <f>IF(AND('My coding'!G4="",Codex!G4=""),"",IF(TRIM(LOWER('My coding'!G4&amp;""))=TRIM(LOWER(Codex!G4&amp;"")),"match","DIFF"))</f>
        <v/>
      </c>
      <c r="F27" s="7" t="n"/>
      <c r="G27" s="7" t="n"/>
    </row>
    <row r="28">
      <c r="A28" s="4" t="inlineStr">
        <is>
          <t>E2</t>
        </is>
      </c>
      <c r="B28" s="4" t="inlineStr">
        <is>
          <t>reliability</t>
        </is>
      </c>
      <c r="C28" s="7">
        <f>IF('My coding'!H4="","",'My coding'!H4)</f>
        <v/>
      </c>
      <c r="D28" s="7">
        <f>IF(Codex!H4="","",Codex!H4)</f>
        <v/>
      </c>
      <c r="E28" s="7">
        <f>IF(AND('My coding'!H4="",Codex!H4=""),"",IF(TRIM(LOWER('My coding'!H4&amp;""))=TRIM(LOWER(Codex!H4&amp;"")),"match","DIFF"))</f>
        <v/>
      </c>
      <c r="F28" s="7" t="n"/>
      <c r="G28" s="7" t="n"/>
    </row>
    <row r="29">
      <c r="A29" s="4" t="inlineStr">
        <is>
          <t>E2</t>
        </is>
      </c>
      <c r="B29" s="4" t="inlineStr">
        <is>
          <t>category</t>
        </is>
      </c>
      <c r="C29" s="7">
        <f>IF('My coding'!I4="","",'My coding'!I4)</f>
        <v/>
      </c>
      <c r="D29" s="7">
        <f>IF(Codex!I4="","",Codex!I4)</f>
        <v/>
      </c>
      <c r="E29" s="7">
        <f>IF(AND('My coding'!I4="",Codex!I4=""),"",IF(TRIM(LOWER('My coding'!I4&amp;""))=TRIM(LOWER(Codex!I4&amp;"")),"match","DIFF"))</f>
        <v/>
      </c>
      <c r="F29" s="7" t="n"/>
      <c r="G29" s="7" t="n"/>
    </row>
    <row r="30">
      <c r="A30" s="4" t="inlineStr">
        <is>
          <t>E2</t>
        </is>
      </c>
      <c r="B30" s="4" t="inlineStr">
        <is>
          <t>mean_control</t>
        </is>
      </c>
      <c r="C30" s="7">
        <f>IF('My coding'!J4="","",'My coding'!J4)</f>
        <v/>
      </c>
      <c r="D30" s="7">
        <f>IF(Codex!J4="","",Codex!J4)</f>
        <v/>
      </c>
      <c r="E30" s="7">
        <f>IF(AND('My coding'!J4="",Codex!J4=""),"",IF(TRIM(LOWER('My coding'!J4&amp;""))=TRIM(LOWER(Codex!J4&amp;"")),"match","DIFF"))</f>
        <v/>
      </c>
      <c r="F30" s="7" t="n"/>
      <c r="G30" s="7" t="n"/>
    </row>
    <row r="31">
      <c r="A31" s="4" t="inlineStr">
        <is>
          <t>E2</t>
        </is>
      </c>
      <c r="B31" s="4" t="inlineStr">
        <is>
          <t>mean_treatment</t>
        </is>
      </c>
      <c r="C31" s="7">
        <f>IF('My coding'!K4="","",'My coding'!K4)</f>
        <v/>
      </c>
      <c r="D31" s="7">
        <f>IF(Codex!K4="","",Codex!K4)</f>
        <v/>
      </c>
      <c r="E31" s="7">
        <f>IF(AND('My coding'!K4="",Codex!K4=""),"",IF(TRIM(LOWER('My coding'!K4&amp;""))=TRIM(LOWER(Codex!K4&amp;"")),"match","DIFF"))</f>
        <v/>
      </c>
      <c r="F31" s="7" t="n"/>
      <c r="G31" s="7" t="n"/>
    </row>
    <row r="32">
      <c r="A32" s="4" t="inlineStr">
        <is>
          <t>E2</t>
        </is>
      </c>
      <c r="B32" s="4" t="inlineStr">
        <is>
          <t>statistic</t>
        </is>
      </c>
      <c r="C32" s="7">
        <f>IF('My coding'!L4="","",'My coding'!L4)</f>
        <v/>
      </c>
      <c r="D32" s="7">
        <f>IF(Codex!L4="","",Codex!L4)</f>
        <v/>
      </c>
      <c r="E32" s="7">
        <f>IF(AND('My coding'!L4="",Codex!L4=""),"",IF(TRIM(LOWER('My coding'!L4&amp;""))=TRIM(LOWER(Codex!L4&amp;"")),"match","DIFF"))</f>
        <v/>
      </c>
      <c r="F32" s="7" t="n"/>
      <c r="G32" s="7" t="n"/>
    </row>
    <row r="33">
      <c r="A33" s="4" t="inlineStr">
        <is>
          <t>E2</t>
        </is>
      </c>
      <c r="B33" s="4" t="inlineStr">
        <is>
          <t>stat_value</t>
        </is>
      </c>
      <c r="C33" s="7">
        <f>IF('My coding'!M4="","",'My coding'!M4)</f>
        <v/>
      </c>
      <c r="D33" s="7">
        <f>IF(Codex!M4="","",Codex!M4)</f>
        <v/>
      </c>
      <c r="E33" s="7">
        <f>IF(AND('My coding'!M4="",Codex!M4=""),"",IF(TRIM(LOWER('My coding'!M4&amp;""))=TRIM(LOWER(Codex!M4&amp;"")),"match","DIFF"))</f>
        <v/>
      </c>
      <c r="F33" s="7" t="n"/>
      <c r="G33" s="7" t="n"/>
    </row>
    <row r="34">
      <c r="A34" s="4" t="inlineStr">
        <is>
          <t>E2</t>
        </is>
      </c>
      <c r="B34" s="4" t="inlineStr">
        <is>
          <t>df</t>
        </is>
      </c>
      <c r="C34" s="7">
        <f>IF('My coding'!N4="","",'My coding'!N4)</f>
        <v/>
      </c>
      <c r="D34" s="7">
        <f>IF(Codex!N4="","",Codex!N4)</f>
        <v/>
      </c>
      <c r="E34" s="7">
        <f>IF(AND('My coding'!N4="",Codex!N4=""),"",IF(TRIM(LOWER('My coding'!N4&amp;""))=TRIM(LOWER(Codex!N4&amp;"")),"match","DIFF"))</f>
        <v/>
      </c>
      <c r="F34" s="7" t="n"/>
      <c r="G34" s="7" t="n"/>
    </row>
    <row r="35">
      <c r="A35" s="4" t="inlineStr">
        <is>
          <t>E2</t>
        </is>
      </c>
      <c r="B35" s="4" t="inlineStr">
        <is>
          <t>n_effect</t>
        </is>
      </c>
      <c r="C35" s="7">
        <f>IF('My coding'!O4="","",'My coding'!O4)</f>
        <v/>
      </c>
      <c r="D35" s="7">
        <f>IF(Codex!O4="","",Codex!O4)</f>
        <v/>
      </c>
      <c r="E35" s="7">
        <f>IF(AND('My coding'!O4="",Codex!O4=""),"",IF(TRIM(LOWER('My coding'!O4&amp;""))=TRIM(LOWER(Codex!O4&amp;"")),"match","DIFF"))</f>
        <v/>
      </c>
      <c r="F35" s="7" t="n"/>
      <c r="G35" s="7" t="n"/>
    </row>
    <row r="36">
      <c r="A36" s="4" t="inlineStr">
        <is>
          <t>E2</t>
        </is>
      </c>
      <c r="B36" s="4" t="inlineStr">
        <is>
          <t>n_source</t>
        </is>
      </c>
      <c r="C36" s="7">
        <f>IF('My coding'!P4="","",'My coding'!P4)</f>
        <v/>
      </c>
      <c r="D36" s="7">
        <f>IF(Codex!P4="","",Codex!P4)</f>
        <v/>
      </c>
      <c r="E36" s="7">
        <f>IF(AND('My coding'!P4="",Codex!P4=""),"",IF(TRIM(LOWER('My coding'!P4&amp;""))=TRIM(LOWER(Codex!P4&amp;"")),"match","DIFF"))</f>
        <v/>
      </c>
      <c r="F36" s="7" t="n"/>
      <c r="G36" s="7" t="n"/>
    </row>
    <row r="37">
      <c r="A37" s="4" t="inlineStr">
        <is>
          <t>E2</t>
        </is>
      </c>
      <c r="B37" s="4" t="inlineStr">
        <is>
          <t>direction</t>
        </is>
      </c>
      <c r="C37" s="7">
        <f>IF('My coding'!Q4="","",'My coding'!Q4)</f>
        <v/>
      </c>
      <c r="D37" s="7">
        <f>IF(Codex!Q4="","",Codex!Q4)</f>
        <v/>
      </c>
      <c r="E37" s="7">
        <f>IF(AND('My coding'!Q4="",Codex!Q4=""),"",IF(TRIM(LOWER('My coding'!Q4&amp;""))=TRIM(LOWER(Codex!Q4&amp;"")),"match","DIFF"))</f>
        <v/>
      </c>
      <c r="F37" s="7" t="n"/>
      <c r="G37" s="7" t="n"/>
    </row>
    <row r="38">
      <c r="A38" s="4" t="inlineStr">
        <is>
          <t>E2</t>
        </is>
      </c>
      <c r="B38" s="4" t="inlineStr">
        <is>
          <t>p_as_printed</t>
        </is>
      </c>
      <c r="C38" s="7">
        <f>IF('My coding'!R4="","",'My coding'!R4)</f>
        <v/>
      </c>
      <c r="D38" s="7">
        <f>IF(Codex!R4="","",Codex!R4)</f>
        <v/>
      </c>
      <c r="E38" s="7">
        <f>IF(AND('My coding'!R4="",Codex!R4=""),"",IF(TRIM(LOWER('My coding'!R4&amp;""))=TRIM(LOWER(Codex!R4&amp;"")),"match","DIFF"))</f>
        <v/>
      </c>
      <c r="F38" s="7" t="n"/>
      <c r="G38" s="7" t="n"/>
    </row>
    <row r="39">
      <c r="A39" s="4" t="inlineStr">
        <is>
          <t>E2</t>
        </is>
      </c>
      <c r="B39" s="4" t="inlineStr">
        <is>
          <t>where_printed</t>
        </is>
      </c>
      <c r="C39" s="7">
        <f>IF('My coding'!S4="","",'My coding'!S4)</f>
        <v/>
      </c>
      <c r="D39" s="7">
        <f>IF(Codex!S4="","",Codex!S4)</f>
        <v/>
      </c>
      <c r="E39" s="7">
        <f>IF(AND('My coding'!S4="",Codex!S4=""),"",IF(TRIM(LOWER('My coding'!S4&amp;""))=TRIM(LOWER(Codex!S4&amp;"")),"match","DIFF"))</f>
        <v/>
      </c>
      <c r="F39" s="7" t="n"/>
      <c r="G39" s="7" t="n"/>
    </row>
    <row r="40">
      <c r="A40" s="4" t="inlineStr">
        <is>
          <t>E2</t>
        </is>
      </c>
      <c r="B40" s="4" t="inlineStr">
        <is>
          <t>printed_page</t>
        </is>
      </c>
      <c r="C40" s="7">
        <f>IF('My coding'!T4="","",'My coding'!T4)</f>
        <v/>
      </c>
      <c r="D40" s="7">
        <f>IF(Codex!T4="","",Codex!T4)</f>
        <v/>
      </c>
      <c r="E40" s="7">
        <f>IF(AND('My coding'!T4="",Codex!T4=""),"",IF(TRIM(LOWER('My coding'!T4&amp;""))=TRIM(LOWER(Codex!T4&amp;"")),"match","DIFF"))</f>
        <v/>
      </c>
      <c r="F40" s="7" t="n"/>
      <c r="G40" s="7" t="n"/>
    </row>
    <row r="41">
      <c r="A41" s="4" t="inlineStr">
        <is>
          <t>E2</t>
        </is>
      </c>
      <c r="B41" s="4" t="inlineStr">
        <is>
          <t>row_decision</t>
        </is>
      </c>
      <c r="C41" s="7">
        <f>IF('My coding'!U4="","",'My coding'!U4)</f>
        <v/>
      </c>
      <c r="D41" s="7">
        <f>IF(Codex!U4="","",Codex!U4)</f>
        <v/>
      </c>
      <c r="E41" s="7">
        <f>IF(AND('My coding'!U4="",Codex!U4=""),"",IF(TRIM(LOWER('My coding'!U4&amp;""))=TRIM(LOWER(Codex!U4&amp;"")),"match","DIFF"))</f>
        <v/>
      </c>
      <c r="F41" s="7" t="n"/>
      <c r="G41" s="7" t="n"/>
    </row>
    <row r="42">
      <c r="A42" s="4" t="inlineStr">
        <is>
          <t>E2</t>
        </is>
      </c>
      <c r="B42" s="4" t="inlineStr">
        <is>
          <t>notes</t>
        </is>
      </c>
      <c r="C42" s="7">
        <f>IF('My coding'!V4="","",'My coding'!V4)</f>
        <v/>
      </c>
      <c r="D42" s="7">
        <f>IF(Codex!V4="","",Codex!V4)</f>
        <v/>
      </c>
      <c r="E42" s="7">
        <f>IF(AND('My coding'!V4="",Codex!V4=""),"",IF(TRIM(LOWER('My coding'!V4&amp;""))=TRIM(LOWER(Codex!V4&amp;"")),"match","DIFF"))</f>
        <v/>
      </c>
      <c r="F42" s="7" t="n"/>
      <c r="G42" s="7" t="n"/>
    </row>
    <row r="43">
      <c r="A43" s="4" t="inlineStr">
        <is>
          <t>E3</t>
        </is>
      </c>
      <c r="B43" s="4" t="inlineStr">
        <is>
          <t>outcome_label</t>
        </is>
      </c>
      <c r="C43" s="7">
        <f>IF('My coding'!D5="","",'My coding'!D5)</f>
        <v/>
      </c>
      <c r="D43" s="7">
        <f>IF(Codex!D5="","",Codex!D5)</f>
        <v/>
      </c>
      <c r="E43" s="7">
        <f>IF(AND('My coding'!D5="",Codex!D5=""),"",IF(TRIM(LOWER('My coding'!D5&amp;""))=TRIM(LOWER(Codex!D5&amp;"")),"match","DIFF"))</f>
        <v/>
      </c>
      <c r="F43" s="7" t="n"/>
      <c r="G43" s="7" t="n"/>
    </row>
    <row r="44">
      <c r="A44" s="4" t="inlineStr">
        <is>
          <t>E3</t>
        </is>
      </c>
      <c r="B44" s="4" t="inlineStr">
        <is>
          <t>operationalization</t>
        </is>
      </c>
      <c r="C44" s="7">
        <f>IF('My coding'!E5="","",'My coding'!E5)</f>
        <v/>
      </c>
      <c r="D44" s="7">
        <f>IF(Codex!E5="","",Codex!E5)</f>
        <v/>
      </c>
      <c r="E44" s="7">
        <f>IF(AND('My coding'!E5="",Codex!E5=""),"",IF(TRIM(LOWER('My coding'!E5&amp;""))=TRIM(LOWER(Codex!E5&amp;"")),"match","DIFF"))</f>
        <v/>
      </c>
      <c r="F44" s="7" t="n"/>
      <c r="G44" s="7" t="n"/>
    </row>
    <row r="45">
      <c r="A45" s="4" t="inlineStr">
        <is>
          <t>E3</t>
        </is>
      </c>
      <c r="B45" s="4" t="inlineStr">
        <is>
          <t>items</t>
        </is>
      </c>
      <c r="C45" s="7">
        <f>IF('My coding'!F5="","",'My coding'!F5)</f>
        <v/>
      </c>
      <c r="D45" s="7">
        <f>IF(Codex!F5="","",Codex!F5)</f>
        <v/>
      </c>
      <c r="E45" s="7">
        <f>IF(AND('My coding'!F5="",Codex!F5=""),"",IF(TRIM(LOWER('My coding'!F5&amp;""))=TRIM(LOWER(Codex!F5&amp;"")),"match","DIFF"))</f>
        <v/>
      </c>
      <c r="F45" s="7" t="n"/>
      <c r="G45" s="7" t="n"/>
    </row>
    <row r="46">
      <c r="A46" s="4" t="inlineStr">
        <is>
          <t>E3</t>
        </is>
      </c>
      <c r="B46" s="4" t="inlineStr">
        <is>
          <t>scale_points</t>
        </is>
      </c>
      <c r="C46" s="7">
        <f>IF('My coding'!G5="","",'My coding'!G5)</f>
        <v/>
      </c>
      <c r="D46" s="7">
        <f>IF(Codex!G5="","",Codex!G5)</f>
        <v/>
      </c>
      <c r="E46" s="7">
        <f>IF(AND('My coding'!G5="",Codex!G5=""),"",IF(TRIM(LOWER('My coding'!G5&amp;""))=TRIM(LOWER(Codex!G5&amp;"")),"match","DIFF"))</f>
        <v/>
      </c>
      <c r="F46" s="7" t="n"/>
      <c r="G46" s="7" t="n"/>
    </row>
    <row r="47">
      <c r="A47" s="4" t="inlineStr">
        <is>
          <t>E3</t>
        </is>
      </c>
      <c r="B47" s="4" t="inlineStr">
        <is>
          <t>reliability</t>
        </is>
      </c>
      <c r="C47" s="7">
        <f>IF('My coding'!H5="","",'My coding'!H5)</f>
        <v/>
      </c>
      <c r="D47" s="7">
        <f>IF(Codex!H5="","",Codex!H5)</f>
        <v/>
      </c>
      <c r="E47" s="7">
        <f>IF(AND('My coding'!H5="",Codex!H5=""),"",IF(TRIM(LOWER('My coding'!H5&amp;""))=TRIM(LOWER(Codex!H5&amp;"")),"match","DIFF"))</f>
        <v/>
      </c>
      <c r="F47" s="7" t="n"/>
      <c r="G47" s="7" t="n"/>
    </row>
    <row r="48">
      <c r="A48" s="4" t="inlineStr">
        <is>
          <t>E3</t>
        </is>
      </c>
      <c r="B48" s="4" t="inlineStr">
        <is>
          <t>category</t>
        </is>
      </c>
      <c r="C48" s="7">
        <f>IF('My coding'!I5="","",'My coding'!I5)</f>
        <v/>
      </c>
      <c r="D48" s="7">
        <f>IF(Codex!I5="","",Codex!I5)</f>
        <v/>
      </c>
      <c r="E48" s="7">
        <f>IF(AND('My coding'!I5="",Codex!I5=""),"",IF(TRIM(LOWER('My coding'!I5&amp;""))=TRIM(LOWER(Codex!I5&amp;"")),"match","DIFF"))</f>
        <v/>
      </c>
      <c r="F48" s="7" t="n"/>
      <c r="G48" s="7" t="n"/>
    </row>
    <row r="49">
      <c r="A49" s="4" t="inlineStr">
        <is>
          <t>E3</t>
        </is>
      </c>
      <c r="B49" s="4" t="inlineStr">
        <is>
          <t>mean_control</t>
        </is>
      </c>
      <c r="C49" s="7">
        <f>IF('My coding'!J5="","",'My coding'!J5)</f>
        <v/>
      </c>
      <c r="D49" s="7">
        <f>IF(Codex!J5="","",Codex!J5)</f>
        <v/>
      </c>
      <c r="E49" s="7">
        <f>IF(AND('My coding'!J5="",Codex!J5=""),"",IF(TRIM(LOWER('My coding'!J5&amp;""))=TRIM(LOWER(Codex!J5&amp;"")),"match","DIFF"))</f>
        <v/>
      </c>
      <c r="F49" s="7" t="n"/>
      <c r="G49" s="7" t="n"/>
    </row>
    <row r="50">
      <c r="A50" s="4" t="inlineStr">
        <is>
          <t>E3</t>
        </is>
      </c>
      <c r="B50" s="4" t="inlineStr">
        <is>
          <t>mean_treatment</t>
        </is>
      </c>
      <c r="C50" s="7">
        <f>IF('My coding'!K5="","",'My coding'!K5)</f>
        <v/>
      </c>
      <c r="D50" s="7">
        <f>IF(Codex!K5="","",Codex!K5)</f>
        <v/>
      </c>
      <c r="E50" s="7">
        <f>IF(AND('My coding'!K5="",Codex!K5=""),"",IF(TRIM(LOWER('My coding'!K5&amp;""))=TRIM(LOWER(Codex!K5&amp;"")),"match","DIFF"))</f>
        <v/>
      </c>
      <c r="F50" s="7" t="n"/>
      <c r="G50" s="7" t="n"/>
    </row>
    <row r="51">
      <c r="A51" s="4" t="inlineStr">
        <is>
          <t>E3</t>
        </is>
      </c>
      <c r="B51" s="4" t="inlineStr">
        <is>
          <t>statistic</t>
        </is>
      </c>
      <c r="C51" s="7">
        <f>IF('My coding'!L5="","",'My coding'!L5)</f>
        <v/>
      </c>
      <c r="D51" s="7">
        <f>IF(Codex!L5="","",Codex!L5)</f>
        <v/>
      </c>
      <c r="E51" s="7">
        <f>IF(AND('My coding'!L5="",Codex!L5=""),"",IF(TRIM(LOWER('My coding'!L5&amp;""))=TRIM(LOWER(Codex!L5&amp;"")),"match","DIFF"))</f>
        <v/>
      </c>
      <c r="F51" s="7" t="n"/>
      <c r="G51" s="7" t="n"/>
    </row>
    <row r="52">
      <c r="A52" s="4" t="inlineStr">
        <is>
          <t>E3</t>
        </is>
      </c>
      <c r="B52" s="4" t="inlineStr">
        <is>
          <t>stat_value</t>
        </is>
      </c>
      <c r="C52" s="7">
        <f>IF('My coding'!M5="","",'My coding'!M5)</f>
        <v/>
      </c>
      <c r="D52" s="7">
        <f>IF(Codex!M5="","",Codex!M5)</f>
        <v/>
      </c>
      <c r="E52" s="7">
        <f>IF(AND('My coding'!M5="",Codex!M5=""),"",IF(TRIM(LOWER('My coding'!M5&amp;""))=TRIM(LOWER(Codex!M5&amp;"")),"match","DIFF"))</f>
        <v/>
      </c>
      <c r="F52" s="7" t="n"/>
      <c r="G52" s="7" t="n"/>
    </row>
    <row r="53">
      <c r="A53" s="4" t="inlineStr">
        <is>
          <t>E3</t>
        </is>
      </c>
      <c r="B53" s="4" t="inlineStr">
        <is>
          <t>df</t>
        </is>
      </c>
      <c r="C53" s="7">
        <f>IF('My coding'!N5="","",'My coding'!N5)</f>
        <v/>
      </c>
      <c r="D53" s="7">
        <f>IF(Codex!N5="","",Codex!N5)</f>
        <v/>
      </c>
      <c r="E53" s="7">
        <f>IF(AND('My coding'!N5="",Codex!N5=""),"",IF(TRIM(LOWER('My coding'!N5&amp;""))=TRIM(LOWER(Codex!N5&amp;"")),"match","DIFF"))</f>
        <v/>
      </c>
      <c r="F53" s="7" t="n"/>
      <c r="G53" s="7" t="n"/>
    </row>
    <row r="54">
      <c r="A54" s="4" t="inlineStr">
        <is>
          <t>E3</t>
        </is>
      </c>
      <c r="B54" s="4" t="inlineStr">
        <is>
          <t>n_effect</t>
        </is>
      </c>
      <c r="C54" s="7">
        <f>IF('My coding'!O5="","",'My coding'!O5)</f>
        <v/>
      </c>
      <c r="D54" s="7">
        <f>IF(Codex!O5="","",Codex!O5)</f>
        <v/>
      </c>
      <c r="E54" s="7">
        <f>IF(AND('My coding'!O5="",Codex!O5=""),"",IF(TRIM(LOWER('My coding'!O5&amp;""))=TRIM(LOWER(Codex!O5&amp;"")),"match","DIFF"))</f>
        <v/>
      </c>
      <c r="F54" s="7" t="n"/>
      <c r="G54" s="7" t="n"/>
    </row>
    <row r="55">
      <c r="A55" s="4" t="inlineStr">
        <is>
          <t>E3</t>
        </is>
      </c>
      <c r="B55" s="4" t="inlineStr">
        <is>
          <t>n_source</t>
        </is>
      </c>
      <c r="C55" s="7">
        <f>IF('My coding'!P5="","",'My coding'!P5)</f>
        <v/>
      </c>
      <c r="D55" s="7">
        <f>IF(Codex!P5="","",Codex!P5)</f>
        <v/>
      </c>
      <c r="E55" s="7">
        <f>IF(AND('My coding'!P5="",Codex!P5=""),"",IF(TRIM(LOWER('My coding'!P5&amp;""))=TRIM(LOWER(Codex!P5&amp;"")),"match","DIFF"))</f>
        <v/>
      </c>
      <c r="F55" s="7" t="n"/>
      <c r="G55" s="7" t="n"/>
    </row>
    <row r="56">
      <c r="A56" s="4" t="inlineStr">
        <is>
          <t>E3</t>
        </is>
      </c>
      <c r="B56" s="4" t="inlineStr">
        <is>
          <t>direction</t>
        </is>
      </c>
      <c r="C56" s="7">
        <f>IF('My coding'!Q5="","",'My coding'!Q5)</f>
        <v/>
      </c>
      <c r="D56" s="7">
        <f>IF(Codex!Q5="","",Codex!Q5)</f>
        <v/>
      </c>
      <c r="E56" s="7">
        <f>IF(AND('My coding'!Q5="",Codex!Q5=""),"",IF(TRIM(LOWER('My coding'!Q5&amp;""))=TRIM(LOWER(Codex!Q5&amp;"")),"match","DIFF"))</f>
        <v/>
      </c>
      <c r="F56" s="7" t="n"/>
      <c r="G56" s="7" t="n"/>
    </row>
    <row r="57">
      <c r="A57" s="4" t="inlineStr">
        <is>
          <t>E3</t>
        </is>
      </c>
      <c r="B57" s="4" t="inlineStr">
        <is>
          <t>p_as_printed</t>
        </is>
      </c>
      <c r="C57" s="7">
        <f>IF('My coding'!R5="","",'My coding'!R5)</f>
        <v/>
      </c>
      <c r="D57" s="7">
        <f>IF(Codex!R5="","",Codex!R5)</f>
        <v/>
      </c>
      <c r="E57" s="7">
        <f>IF(AND('My coding'!R5="",Codex!R5=""),"",IF(TRIM(LOWER('My coding'!R5&amp;""))=TRIM(LOWER(Codex!R5&amp;"")),"match","DIFF"))</f>
        <v/>
      </c>
      <c r="F57" s="7" t="n"/>
      <c r="G57" s="7" t="n"/>
    </row>
    <row r="58">
      <c r="A58" s="4" t="inlineStr">
        <is>
          <t>E3</t>
        </is>
      </c>
      <c r="B58" s="4" t="inlineStr">
        <is>
          <t>where_printed</t>
        </is>
      </c>
      <c r="C58" s="7">
        <f>IF('My coding'!S5="","",'My coding'!S5)</f>
        <v/>
      </c>
      <c r="D58" s="7">
        <f>IF(Codex!S5="","",Codex!S5)</f>
        <v/>
      </c>
      <c r="E58" s="7">
        <f>IF(AND('My coding'!S5="",Codex!S5=""),"",IF(TRIM(LOWER('My coding'!S5&amp;""))=TRIM(LOWER(Codex!S5&amp;"")),"match","DIFF"))</f>
        <v/>
      </c>
      <c r="F58" s="7" t="n"/>
      <c r="G58" s="7" t="n"/>
    </row>
    <row r="59">
      <c r="A59" s="4" t="inlineStr">
        <is>
          <t>E3</t>
        </is>
      </c>
      <c r="B59" s="4" t="inlineStr">
        <is>
          <t>printed_page</t>
        </is>
      </c>
      <c r="C59" s="7">
        <f>IF('My coding'!T5="","",'My coding'!T5)</f>
        <v/>
      </c>
      <c r="D59" s="7">
        <f>IF(Codex!T5="","",Codex!T5)</f>
        <v/>
      </c>
      <c r="E59" s="7">
        <f>IF(AND('My coding'!T5="",Codex!T5=""),"",IF(TRIM(LOWER('My coding'!T5&amp;""))=TRIM(LOWER(Codex!T5&amp;"")),"match","DIFF"))</f>
        <v/>
      </c>
      <c r="F59" s="7" t="n"/>
      <c r="G59" s="7" t="n"/>
    </row>
    <row r="60">
      <c r="A60" s="4" t="inlineStr">
        <is>
          <t>E3</t>
        </is>
      </c>
      <c r="B60" s="4" t="inlineStr">
        <is>
          <t>row_decision</t>
        </is>
      </c>
      <c r="C60" s="7">
        <f>IF('My coding'!U5="","",'My coding'!U5)</f>
        <v/>
      </c>
      <c r="D60" s="7">
        <f>IF(Codex!U5="","",Codex!U5)</f>
        <v/>
      </c>
      <c r="E60" s="7">
        <f>IF(AND('My coding'!U5="",Codex!U5=""),"",IF(TRIM(LOWER('My coding'!U5&amp;""))=TRIM(LOWER(Codex!U5&amp;"")),"match","DIFF"))</f>
        <v/>
      </c>
      <c r="F60" s="7" t="n"/>
      <c r="G60" s="7" t="n"/>
    </row>
    <row r="61">
      <c r="A61" s="4" t="inlineStr">
        <is>
          <t>E3</t>
        </is>
      </c>
      <c r="B61" s="4" t="inlineStr">
        <is>
          <t>notes</t>
        </is>
      </c>
      <c r="C61" s="7">
        <f>IF('My coding'!V5="","",'My coding'!V5)</f>
        <v/>
      </c>
      <c r="D61" s="7">
        <f>IF(Codex!V5="","",Codex!V5)</f>
        <v/>
      </c>
      <c r="E61" s="7">
        <f>IF(AND('My coding'!V5="",Codex!V5=""),"",IF(TRIM(LOWER('My coding'!V5&amp;""))=TRIM(LOWER(Codex!V5&amp;"")),"match","DIFF"))</f>
        <v/>
      </c>
      <c r="F61" s="7" t="n"/>
      <c r="G61" s="7" t="n"/>
    </row>
    <row r="62">
      <c r="A62" s="4" t="inlineStr">
        <is>
          <t>E4</t>
        </is>
      </c>
      <c r="B62" s="4" t="inlineStr">
        <is>
          <t>outcome_label</t>
        </is>
      </c>
      <c r="C62" s="7">
        <f>IF('My coding'!D6="","",'My coding'!D6)</f>
        <v/>
      </c>
      <c r="D62" s="7">
        <f>IF(Codex!D6="","",Codex!D6)</f>
        <v/>
      </c>
      <c r="E62" s="7">
        <f>IF(AND('My coding'!D6="",Codex!D6=""),"",IF(TRIM(LOWER('My coding'!D6&amp;""))=TRIM(LOWER(Codex!D6&amp;"")),"match","DIFF"))</f>
        <v/>
      </c>
      <c r="F62" s="7" t="n"/>
      <c r="G62" s="7" t="n"/>
    </row>
    <row r="63">
      <c r="A63" s="4" t="inlineStr">
        <is>
          <t>E4</t>
        </is>
      </c>
      <c r="B63" s="4" t="inlineStr">
        <is>
          <t>operationalization</t>
        </is>
      </c>
      <c r="C63" s="7">
        <f>IF('My coding'!E6="","",'My coding'!E6)</f>
        <v/>
      </c>
      <c r="D63" s="7">
        <f>IF(Codex!E6="","",Codex!E6)</f>
        <v/>
      </c>
      <c r="E63" s="7">
        <f>IF(AND('My coding'!E6="",Codex!E6=""),"",IF(TRIM(LOWER('My coding'!E6&amp;""))=TRIM(LOWER(Codex!E6&amp;"")),"match","DIFF"))</f>
        <v/>
      </c>
      <c r="F63" s="7" t="n"/>
      <c r="G63" s="7" t="n"/>
    </row>
    <row r="64">
      <c r="A64" s="4" t="inlineStr">
        <is>
          <t>E4</t>
        </is>
      </c>
      <c r="B64" s="4" t="inlineStr">
        <is>
          <t>items</t>
        </is>
      </c>
      <c r="C64" s="7">
        <f>IF('My coding'!F6="","",'My coding'!F6)</f>
        <v/>
      </c>
      <c r="D64" s="7">
        <f>IF(Codex!F6="","",Codex!F6)</f>
        <v/>
      </c>
      <c r="E64" s="7">
        <f>IF(AND('My coding'!F6="",Codex!F6=""),"",IF(TRIM(LOWER('My coding'!F6&amp;""))=TRIM(LOWER(Codex!F6&amp;"")),"match","DIFF"))</f>
        <v/>
      </c>
      <c r="F64" s="7" t="n"/>
      <c r="G64" s="7" t="n"/>
    </row>
    <row r="65">
      <c r="A65" s="4" t="inlineStr">
        <is>
          <t>E4</t>
        </is>
      </c>
      <c r="B65" s="4" t="inlineStr">
        <is>
          <t>scale_points</t>
        </is>
      </c>
      <c r="C65" s="7">
        <f>IF('My coding'!G6="","",'My coding'!G6)</f>
        <v/>
      </c>
      <c r="D65" s="7">
        <f>IF(Codex!G6="","",Codex!G6)</f>
        <v/>
      </c>
      <c r="E65" s="7">
        <f>IF(AND('My coding'!G6="",Codex!G6=""),"",IF(TRIM(LOWER('My coding'!G6&amp;""))=TRIM(LOWER(Codex!G6&amp;"")),"match","DIFF"))</f>
        <v/>
      </c>
      <c r="F65" s="7" t="n"/>
      <c r="G65" s="7" t="n"/>
    </row>
    <row r="66">
      <c r="A66" s="4" t="inlineStr">
        <is>
          <t>E4</t>
        </is>
      </c>
      <c r="B66" s="4" t="inlineStr">
        <is>
          <t>reliability</t>
        </is>
      </c>
      <c r="C66" s="7">
        <f>IF('My coding'!H6="","",'My coding'!H6)</f>
        <v/>
      </c>
      <c r="D66" s="7">
        <f>IF(Codex!H6="","",Codex!H6)</f>
        <v/>
      </c>
      <c r="E66" s="7">
        <f>IF(AND('My coding'!H6="",Codex!H6=""),"",IF(TRIM(LOWER('My coding'!H6&amp;""))=TRIM(LOWER(Codex!H6&amp;"")),"match","DIFF"))</f>
        <v/>
      </c>
      <c r="F66" s="7" t="n"/>
      <c r="G66" s="7" t="n"/>
    </row>
    <row r="67">
      <c r="A67" s="4" t="inlineStr">
        <is>
          <t>E4</t>
        </is>
      </c>
      <c r="B67" s="4" t="inlineStr">
        <is>
          <t>category</t>
        </is>
      </c>
      <c r="C67" s="7">
        <f>IF('My coding'!I6="","",'My coding'!I6)</f>
        <v/>
      </c>
      <c r="D67" s="7">
        <f>IF(Codex!I6="","",Codex!I6)</f>
        <v/>
      </c>
      <c r="E67" s="7">
        <f>IF(AND('My coding'!I6="",Codex!I6=""),"",IF(TRIM(LOWER('My coding'!I6&amp;""))=TRIM(LOWER(Codex!I6&amp;"")),"match","DIFF"))</f>
        <v/>
      </c>
      <c r="F67" s="7" t="n"/>
      <c r="G67" s="7" t="n"/>
    </row>
    <row r="68">
      <c r="A68" s="4" t="inlineStr">
        <is>
          <t>E4</t>
        </is>
      </c>
      <c r="B68" s="4" t="inlineStr">
        <is>
          <t>mean_control</t>
        </is>
      </c>
      <c r="C68" s="7">
        <f>IF('My coding'!J6="","",'My coding'!J6)</f>
        <v/>
      </c>
      <c r="D68" s="7">
        <f>IF(Codex!J6="","",Codex!J6)</f>
        <v/>
      </c>
      <c r="E68" s="7">
        <f>IF(AND('My coding'!J6="",Codex!J6=""),"",IF(TRIM(LOWER('My coding'!J6&amp;""))=TRIM(LOWER(Codex!J6&amp;"")),"match","DIFF"))</f>
        <v/>
      </c>
      <c r="F68" s="7" t="n"/>
      <c r="G68" s="7" t="n"/>
    </row>
    <row r="69">
      <c r="A69" s="4" t="inlineStr">
        <is>
          <t>E4</t>
        </is>
      </c>
      <c r="B69" s="4" t="inlineStr">
        <is>
          <t>mean_treatment</t>
        </is>
      </c>
      <c r="C69" s="7">
        <f>IF('My coding'!K6="","",'My coding'!K6)</f>
        <v/>
      </c>
      <c r="D69" s="7">
        <f>IF(Codex!K6="","",Codex!K6)</f>
        <v/>
      </c>
      <c r="E69" s="7">
        <f>IF(AND('My coding'!K6="",Codex!K6=""),"",IF(TRIM(LOWER('My coding'!K6&amp;""))=TRIM(LOWER(Codex!K6&amp;"")),"match","DIFF"))</f>
        <v/>
      </c>
      <c r="F69" s="7" t="n"/>
      <c r="G69" s="7" t="n"/>
    </row>
    <row r="70">
      <c r="A70" s="4" t="inlineStr">
        <is>
          <t>E4</t>
        </is>
      </c>
      <c r="B70" s="4" t="inlineStr">
        <is>
          <t>statistic</t>
        </is>
      </c>
      <c r="C70" s="7">
        <f>IF('My coding'!L6="","",'My coding'!L6)</f>
        <v/>
      </c>
      <c r="D70" s="7">
        <f>IF(Codex!L6="","",Codex!L6)</f>
        <v/>
      </c>
      <c r="E70" s="7">
        <f>IF(AND('My coding'!L6="",Codex!L6=""),"",IF(TRIM(LOWER('My coding'!L6&amp;""))=TRIM(LOWER(Codex!L6&amp;"")),"match","DIFF"))</f>
        <v/>
      </c>
      <c r="F70" s="7" t="n"/>
      <c r="G70" s="7" t="n"/>
    </row>
    <row r="71">
      <c r="A71" s="4" t="inlineStr">
        <is>
          <t>E4</t>
        </is>
      </c>
      <c r="B71" s="4" t="inlineStr">
        <is>
          <t>stat_value</t>
        </is>
      </c>
      <c r="C71" s="7">
        <f>IF('My coding'!M6="","",'My coding'!M6)</f>
        <v/>
      </c>
      <c r="D71" s="7">
        <f>IF(Codex!M6="","",Codex!M6)</f>
        <v/>
      </c>
      <c r="E71" s="7">
        <f>IF(AND('My coding'!M6="",Codex!M6=""),"",IF(TRIM(LOWER('My coding'!M6&amp;""))=TRIM(LOWER(Codex!M6&amp;"")),"match","DIFF"))</f>
        <v/>
      </c>
      <c r="F71" s="7" t="n"/>
      <c r="G71" s="7" t="n"/>
    </row>
    <row r="72">
      <c r="A72" s="4" t="inlineStr">
        <is>
          <t>E4</t>
        </is>
      </c>
      <c r="B72" s="4" t="inlineStr">
        <is>
          <t>df</t>
        </is>
      </c>
      <c r="C72" s="7">
        <f>IF('My coding'!N6="","",'My coding'!N6)</f>
        <v/>
      </c>
      <c r="D72" s="7">
        <f>IF(Codex!N6="","",Codex!N6)</f>
        <v/>
      </c>
      <c r="E72" s="7">
        <f>IF(AND('My coding'!N6="",Codex!N6=""),"",IF(TRIM(LOWER('My coding'!N6&amp;""))=TRIM(LOWER(Codex!N6&amp;"")),"match","DIFF"))</f>
        <v/>
      </c>
      <c r="F72" s="7" t="n"/>
      <c r="G72" s="7" t="n"/>
    </row>
    <row r="73">
      <c r="A73" s="4" t="inlineStr">
        <is>
          <t>E4</t>
        </is>
      </c>
      <c r="B73" s="4" t="inlineStr">
        <is>
          <t>n_effect</t>
        </is>
      </c>
      <c r="C73" s="7">
        <f>IF('My coding'!O6="","",'My coding'!O6)</f>
        <v/>
      </c>
      <c r="D73" s="7">
        <f>IF(Codex!O6="","",Codex!O6)</f>
        <v/>
      </c>
      <c r="E73" s="7">
        <f>IF(AND('My coding'!O6="",Codex!O6=""),"",IF(TRIM(LOWER('My coding'!O6&amp;""))=TRIM(LOWER(Codex!O6&amp;"")),"match","DIFF"))</f>
        <v/>
      </c>
      <c r="F73" s="7" t="n"/>
      <c r="G73" s="7" t="n"/>
    </row>
    <row r="74">
      <c r="A74" s="4" t="inlineStr">
        <is>
          <t>E4</t>
        </is>
      </c>
      <c r="B74" s="4" t="inlineStr">
        <is>
          <t>n_source</t>
        </is>
      </c>
      <c r="C74" s="7">
        <f>IF('My coding'!P6="","",'My coding'!P6)</f>
        <v/>
      </c>
      <c r="D74" s="7">
        <f>IF(Codex!P6="","",Codex!P6)</f>
        <v/>
      </c>
      <c r="E74" s="7">
        <f>IF(AND('My coding'!P6="",Codex!P6=""),"",IF(TRIM(LOWER('My coding'!P6&amp;""))=TRIM(LOWER(Codex!P6&amp;"")),"match","DIFF"))</f>
        <v/>
      </c>
      <c r="F74" s="7" t="n"/>
      <c r="G74" s="7" t="n"/>
    </row>
    <row r="75">
      <c r="A75" s="4" t="inlineStr">
        <is>
          <t>E4</t>
        </is>
      </c>
      <c r="B75" s="4" t="inlineStr">
        <is>
          <t>direction</t>
        </is>
      </c>
      <c r="C75" s="7">
        <f>IF('My coding'!Q6="","",'My coding'!Q6)</f>
        <v/>
      </c>
      <c r="D75" s="7">
        <f>IF(Codex!Q6="","",Codex!Q6)</f>
        <v/>
      </c>
      <c r="E75" s="7">
        <f>IF(AND('My coding'!Q6="",Codex!Q6=""),"",IF(TRIM(LOWER('My coding'!Q6&amp;""))=TRIM(LOWER(Codex!Q6&amp;"")),"match","DIFF"))</f>
        <v/>
      </c>
      <c r="F75" s="7" t="n"/>
      <c r="G75" s="7" t="n"/>
    </row>
    <row r="76">
      <c r="A76" s="4" t="inlineStr">
        <is>
          <t>E4</t>
        </is>
      </c>
      <c r="B76" s="4" t="inlineStr">
        <is>
          <t>p_as_printed</t>
        </is>
      </c>
      <c r="C76" s="7">
        <f>IF('My coding'!R6="","",'My coding'!R6)</f>
        <v/>
      </c>
      <c r="D76" s="7">
        <f>IF(Codex!R6="","",Codex!R6)</f>
        <v/>
      </c>
      <c r="E76" s="7">
        <f>IF(AND('My coding'!R6="",Codex!R6=""),"",IF(TRIM(LOWER('My coding'!R6&amp;""))=TRIM(LOWER(Codex!R6&amp;"")),"match","DIFF"))</f>
        <v/>
      </c>
      <c r="F76" s="7" t="n"/>
      <c r="G76" s="7" t="n"/>
    </row>
    <row r="77">
      <c r="A77" s="4" t="inlineStr">
        <is>
          <t>E4</t>
        </is>
      </c>
      <c r="B77" s="4" t="inlineStr">
        <is>
          <t>where_printed</t>
        </is>
      </c>
      <c r="C77" s="7">
        <f>IF('My coding'!S6="","",'My coding'!S6)</f>
        <v/>
      </c>
      <c r="D77" s="7">
        <f>IF(Codex!S6="","",Codex!S6)</f>
        <v/>
      </c>
      <c r="E77" s="7">
        <f>IF(AND('My coding'!S6="",Codex!S6=""),"",IF(TRIM(LOWER('My coding'!S6&amp;""))=TRIM(LOWER(Codex!S6&amp;"")),"match","DIFF"))</f>
        <v/>
      </c>
      <c r="F77" s="7" t="n"/>
      <c r="G77" s="7" t="n"/>
    </row>
    <row r="78">
      <c r="A78" s="4" t="inlineStr">
        <is>
          <t>E4</t>
        </is>
      </c>
      <c r="B78" s="4" t="inlineStr">
        <is>
          <t>printed_page</t>
        </is>
      </c>
      <c r="C78" s="7">
        <f>IF('My coding'!T6="","",'My coding'!T6)</f>
        <v/>
      </c>
      <c r="D78" s="7">
        <f>IF(Codex!T6="","",Codex!T6)</f>
        <v/>
      </c>
      <c r="E78" s="7">
        <f>IF(AND('My coding'!T6="",Codex!T6=""),"",IF(TRIM(LOWER('My coding'!T6&amp;""))=TRIM(LOWER(Codex!T6&amp;"")),"match","DIFF"))</f>
        <v/>
      </c>
      <c r="F78" s="7" t="n"/>
      <c r="G78" s="7" t="n"/>
    </row>
    <row r="79">
      <c r="A79" s="4" t="inlineStr">
        <is>
          <t>E4</t>
        </is>
      </c>
      <c r="B79" s="4" t="inlineStr">
        <is>
          <t>row_decision</t>
        </is>
      </c>
      <c r="C79" s="7">
        <f>IF('My coding'!U6="","",'My coding'!U6)</f>
        <v/>
      </c>
      <c r="D79" s="7">
        <f>IF(Codex!U6="","",Codex!U6)</f>
        <v/>
      </c>
      <c r="E79" s="7">
        <f>IF(AND('My coding'!U6="",Codex!U6=""),"",IF(TRIM(LOWER('My coding'!U6&amp;""))=TRIM(LOWER(Codex!U6&amp;"")),"match","DIFF"))</f>
        <v/>
      </c>
      <c r="F79" s="7" t="n"/>
      <c r="G79" s="7" t="n"/>
    </row>
    <row r="80">
      <c r="A80" s="4" t="inlineStr">
        <is>
          <t>E4</t>
        </is>
      </c>
      <c r="B80" s="4" t="inlineStr">
        <is>
          <t>notes</t>
        </is>
      </c>
      <c r="C80" s="7">
        <f>IF('My coding'!V6="","",'My coding'!V6)</f>
        <v/>
      </c>
      <c r="D80" s="7">
        <f>IF(Codex!V6="","",Codex!V6)</f>
        <v/>
      </c>
      <c r="E80" s="7">
        <f>IF(AND('My coding'!V6="",Codex!V6=""),"",IF(TRIM(LOWER('My coding'!V6&amp;""))=TRIM(LOWER(Codex!V6&amp;"")),"match","DIFF"))</f>
        <v/>
      </c>
      <c r="F80" s="7" t="n"/>
      <c r="G80" s="7" t="n"/>
    </row>
    <row r="81">
      <c r="A81" s="4" t="inlineStr">
        <is>
          <t>E5</t>
        </is>
      </c>
      <c r="B81" s="4" t="inlineStr">
        <is>
          <t>outcome_label</t>
        </is>
      </c>
      <c r="C81" s="7">
        <f>IF('My coding'!D7="","",'My coding'!D7)</f>
        <v/>
      </c>
      <c r="D81" s="7">
        <f>IF(Codex!D7="","",Codex!D7)</f>
        <v/>
      </c>
      <c r="E81" s="7">
        <f>IF(AND('My coding'!D7="",Codex!D7=""),"",IF(TRIM(LOWER('My coding'!D7&amp;""))=TRIM(LOWER(Codex!D7&amp;"")),"match","DIFF"))</f>
        <v/>
      </c>
      <c r="F81" s="7" t="n"/>
      <c r="G81" s="7" t="n"/>
    </row>
    <row r="82">
      <c r="A82" s="4" t="inlineStr">
        <is>
          <t>E5</t>
        </is>
      </c>
      <c r="B82" s="4" t="inlineStr">
        <is>
          <t>operationalization</t>
        </is>
      </c>
      <c r="C82" s="7">
        <f>IF('My coding'!E7="","",'My coding'!E7)</f>
        <v/>
      </c>
      <c r="D82" s="7">
        <f>IF(Codex!E7="","",Codex!E7)</f>
        <v/>
      </c>
      <c r="E82" s="7">
        <f>IF(AND('My coding'!E7="",Codex!E7=""),"",IF(TRIM(LOWER('My coding'!E7&amp;""))=TRIM(LOWER(Codex!E7&amp;"")),"match","DIFF"))</f>
        <v/>
      </c>
      <c r="F82" s="7" t="n"/>
      <c r="G82" s="7" t="n"/>
    </row>
    <row r="83">
      <c r="A83" s="4" t="inlineStr">
        <is>
          <t>E5</t>
        </is>
      </c>
      <c r="B83" s="4" t="inlineStr">
        <is>
          <t>items</t>
        </is>
      </c>
      <c r="C83" s="7">
        <f>IF('My coding'!F7="","",'My coding'!F7)</f>
        <v/>
      </c>
      <c r="D83" s="7">
        <f>IF(Codex!F7="","",Codex!F7)</f>
        <v/>
      </c>
      <c r="E83" s="7">
        <f>IF(AND('My coding'!F7="",Codex!F7=""),"",IF(TRIM(LOWER('My coding'!F7&amp;""))=TRIM(LOWER(Codex!F7&amp;"")),"match","DIFF"))</f>
        <v/>
      </c>
      <c r="F83" s="7" t="n"/>
      <c r="G83" s="7" t="n"/>
    </row>
    <row r="84">
      <c r="A84" s="4" t="inlineStr">
        <is>
          <t>E5</t>
        </is>
      </c>
      <c r="B84" s="4" t="inlineStr">
        <is>
          <t>scale_points</t>
        </is>
      </c>
      <c r="C84" s="7">
        <f>IF('My coding'!G7="","",'My coding'!G7)</f>
        <v/>
      </c>
      <c r="D84" s="7">
        <f>IF(Codex!G7="","",Codex!G7)</f>
        <v/>
      </c>
      <c r="E84" s="7">
        <f>IF(AND('My coding'!G7="",Codex!G7=""),"",IF(TRIM(LOWER('My coding'!G7&amp;""))=TRIM(LOWER(Codex!G7&amp;"")),"match","DIFF"))</f>
        <v/>
      </c>
      <c r="F84" s="7" t="n"/>
      <c r="G84" s="7" t="n"/>
    </row>
    <row r="85">
      <c r="A85" s="4" t="inlineStr">
        <is>
          <t>E5</t>
        </is>
      </c>
      <c r="B85" s="4" t="inlineStr">
        <is>
          <t>reliability</t>
        </is>
      </c>
      <c r="C85" s="7">
        <f>IF('My coding'!H7="","",'My coding'!H7)</f>
        <v/>
      </c>
      <c r="D85" s="7">
        <f>IF(Codex!H7="","",Codex!H7)</f>
        <v/>
      </c>
      <c r="E85" s="7">
        <f>IF(AND('My coding'!H7="",Codex!H7=""),"",IF(TRIM(LOWER('My coding'!H7&amp;""))=TRIM(LOWER(Codex!H7&amp;"")),"match","DIFF"))</f>
        <v/>
      </c>
      <c r="F85" s="7" t="n"/>
      <c r="G85" s="7" t="n"/>
    </row>
    <row r="86">
      <c r="A86" s="4" t="inlineStr">
        <is>
          <t>E5</t>
        </is>
      </c>
      <c r="B86" s="4" t="inlineStr">
        <is>
          <t>category</t>
        </is>
      </c>
      <c r="C86" s="7">
        <f>IF('My coding'!I7="","",'My coding'!I7)</f>
        <v/>
      </c>
      <c r="D86" s="7">
        <f>IF(Codex!I7="","",Codex!I7)</f>
        <v/>
      </c>
      <c r="E86" s="7">
        <f>IF(AND('My coding'!I7="",Codex!I7=""),"",IF(TRIM(LOWER('My coding'!I7&amp;""))=TRIM(LOWER(Codex!I7&amp;"")),"match","DIFF"))</f>
        <v/>
      </c>
      <c r="F86" s="7" t="n"/>
      <c r="G86" s="7" t="n"/>
    </row>
    <row r="87">
      <c r="A87" s="4" t="inlineStr">
        <is>
          <t>E5</t>
        </is>
      </c>
      <c r="B87" s="4" t="inlineStr">
        <is>
          <t>mean_control</t>
        </is>
      </c>
      <c r="C87" s="7">
        <f>IF('My coding'!J7="","",'My coding'!J7)</f>
        <v/>
      </c>
      <c r="D87" s="7">
        <f>IF(Codex!J7="","",Codex!J7)</f>
        <v/>
      </c>
      <c r="E87" s="7">
        <f>IF(AND('My coding'!J7="",Codex!J7=""),"",IF(TRIM(LOWER('My coding'!J7&amp;""))=TRIM(LOWER(Codex!J7&amp;"")),"match","DIFF"))</f>
        <v/>
      </c>
      <c r="F87" s="7" t="n"/>
      <c r="G87" s="7" t="n"/>
    </row>
    <row r="88">
      <c r="A88" s="4" t="inlineStr">
        <is>
          <t>E5</t>
        </is>
      </c>
      <c r="B88" s="4" t="inlineStr">
        <is>
          <t>mean_treatment</t>
        </is>
      </c>
      <c r="C88" s="7">
        <f>IF('My coding'!K7="","",'My coding'!K7)</f>
        <v/>
      </c>
      <c r="D88" s="7">
        <f>IF(Codex!K7="","",Codex!K7)</f>
        <v/>
      </c>
      <c r="E88" s="7">
        <f>IF(AND('My coding'!K7="",Codex!K7=""),"",IF(TRIM(LOWER('My coding'!K7&amp;""))=TRIM(LOWER(Codex!K7&amp;"")),"match","DIFF"))</f>
        <v/>
      </c>
      <c r="F88" s="7" t="n"/>
      <c r="G88" s="7" t="n"/>
    </row>
    <row r="89">
      <c r="A89" s="4" t="inlineStr">
        <is>
          <t>E5</t>
        </is>
      </c>
      <c r="B89" s="4" t="inlineStr">
        <is>
          <t>statistic</t>
        </is>
      </c>
      <c r="C89" s="7">
        <f>IF('My coding'!L7="","",'My coding'!L7)</f>
        <v/>
      </c>
      <c r="D89" s="7">
        <f>IF(Codex!L7="","",Codex!L7)</f>
        <v/>
      </c>
      <c r="E89" s="7">
        <f>IF(AND('My coding'!L7="",Codex!L7=""),"",IF(TRIM(LOWER('My coding'!L7&amp;""))=TRIM(LOWER(Codex!L7&amp;"")),"match","DIFF"))</f>
        <v/>
      </c>
      <c r="F89" s="7" t="n"/>
      <c r="G89" s="7" t="n"/>
    </row>
    <row r="90">
      <c r="A90" s="4" t="inlineStr">
        <is>
          <t>E5</t>
        </is>
      </c>
      <c r="B90" s="4" t="inlineStr">
        <is>
          <t>stat_value</t>
        </is>
      </c>
      <c r="C90" s="7">
        <f>IF('My coding'!M7="","",'My coding'!M7)</f>
        <v/>
      </c>
      <c r="D90" s="7">
        <f>IF(Codex!M7="","",Codex!M7)</f>
        <v/>
      </c>
      <c r="E90" s="7">
        <f>IF(AND('My coding'!M7="",Codex!M7=""),"",IF(TRIM(LOWER('My coding'!M7&amp;""))=TRIM(LOWER(Codex!M7&amp;"")),"match","DIFF"))</f>
        <v/>
      </c>
      <c r="F90" s="7" t="n"/>
      <c r="G90" s="7" t="n"/>
    </row>
    <row r="91">
      <c r="A91" s="4" t="inlineStr">
        <is>
          <t>E5</t>
        </is>
      </c>
      <c r="B91" s="4" t="inlineStr">
        <is>
          <t>df</t>
        </is>
      </c>
      <c r="C91" s="7">
        <f>IF('My coding'!N7="","",'My coding'!N7)</f>
        <v/>
      </c>
      <c r="D91" s="7">
        <f>IF(Codex!N7="","",Codex!N7)</f>
        <v/>
      </c>
      <c r="E91" s="7">
        <f>IF(AND('My coding'!N7="",Codex!N7=""),"",IF(TRIM(LOWER('My coding'!N7&amp;""))=TRIM(LOWER(Codex!N7&amp;"")),"match","DIFF"))</f>
        <v/>
      </c>
      <c r="F91" s="7" t="n"/>
      <c r="G91" s="7" t="n"/>
    </row>
    <row r="92">
      <c r="A92" s="4" t="inlineStr">
        <is>
          <t>E5</t>
        </is>
      </c>
      <c r="B92" s="4" t="inlineStr">
        <is>
          <t>n_effect</t>
        </is>
      </c>
      <c r="C92" s="7">
        <f>IF('My coding'!O7="","",'My coding'!O7)</f>
        <v/>
      </c>
      <c r="D92" s="7">
        <f>IF(Codex!O7="","",Codex!O7)</f>
        <v/>
      </c>
      <c r="E92" s="7">
        <f>IF(AND('My coding'!O7="",Codex!O7=""),"",IF(TRIM(LOWER('My coding'!O7&amp;""))=TRIM(LOWER(Codex!O7&amp;"")),"match","DIFF"))</f>
        <v/>
      </c>
      <c r="F92" s="7" t="n"/>
      <c r="G92" s="7" t="n"/>
    </row>
    <row r="93">
      <c r="A93" s="4" t="inlineStr">
        <is>
          <t>E5</t>
        </is>
      </c>
      <c r="B93" s="4" t="inlineStr">
        <is>
          <t>n_source</t>
        </is>
      </c>
      <c r="C93" s="7">
        <f>IF('My coding'!P7="","",'My coding'!P7)</f>
        <v/>
      </c>
      <c r="D93" s="7">
        <f>IF(Codex!P7="","",Codex!P7)</f>
        <v/>
      </c>
      <c r="E93" s="7">
        <f>IF(AND('My coding'!P7="",Codex!P7=""),"",IF(TRIM(LOWER('My coding'!P7&amp;""))=TRIM(LOWER(Codex!P7&amp;"")),"match","DIFF"))</f>
        <v/>
      </c>
      <c r="F93" s="7" t="n"/>
      <c r="G93" s="7" t="n"/>
    </row>
    <row r="94">
      <c r="A94" s="4" t="inlineStr">
        <is>
          <t>E5</t>
        </is>
      </c>
      <c r="B94" s="4" t="inlineStr">
        <is>
          <t>direction</t>
        </is>
      </c>
      <c r="C94" s="7">
        <f>IF('My coding'!Q7="","",'My coding'!Q7)</f>
        <v/>
      </c>
      <c r="D94" s="7">
        <f>IF(Codex!Q7="","",Codex!Q7)</f>
        <v/>
      </c>
      <c r="E94" s="7">
        <f>IF(AND('My coding'!Q7="",Codex!Q7=""),"",IF(TRIM(LOWER('My coding'!Q7&amp;""))=TRIM(LOWER(Codex!Q7&amp;"")),"match","DIFF"))</f>
        <v/>
      </c>
      <c r="F94" s="7" t="n"/>
      <c r="G94" s="7" t="n"/>
    </row>
    <row r="95">
      <c r="A95" s="4" t="inlineStr">
        <is>
          <t>E5</t>
        </is>
      </c>
      <c r="B95" s="4" t="inlineStr">
        <is>
          <t>p_as_printed</t>
        </is>
      </c>
      <c r="C95" s="7">
        <f>IF('My coding'!R7="","",'My coding'!R7)</f>
        <v/>
      </c>
      <c r="D95" s="7">
        <f>IF(Codex!R7="","",Codex!R7)</f>
        <v/>
      </c>
      <c r="E95" s="7">
        <f>IF(AND('My coding'!R7="",Codex!R7=""),"",IF(TRIM(LOWER('My coding'!R7&amp;""))=TRIM(LOWER(Codex!R7&amp;"")),"match","DIFF"))</f>
        <v/>
      </c>
      <c r="F95" s="7" t="n"/>
      <c r="G95" s="7" t="n"/>
    </row>
    <row r="96">
      <c r="A96" s="4" t="inlineStr">
        <is>
          <t>E5</t>
        </is>
      </c>
      <c r="B96" s="4" t="inlineStr">
        <is>
          <t>where_printed</t>
        </is>
      </c>
      <c r="C96" s="7">
        <f>IF('My coding'!S7="","",'My coding'!S7)</f>
        <v/>
      </c>
      <c r="D96" s="7">
        <f>IF(Codex!S7="","",Codex!S7)</f>
        <v/>
      </c>
      <c r="E96" s="7">
        <f>IF(AND('My coding'!S7="",Codex!S7=""),"",IF(TRIM(LOWER('My coding'!S7&amp;""))=TRIM(LOWER(Codex!S7&amp;"")),"match","DIFF"))</f>
        <v/>
      </c>
      <c r="F96" s="7" t="n"/>
      <c r="G96" s="7" t="n"/>
    </row>
    <row r="97">
      <c r="A97" s="4" t="inlineStr">
        <is>
          <t>E5</t>
        </is>
      </c>
      <c r="B97" s="4" t="inlineStr">
        <is>
          <t>printed_page</t>
        </is>
      </c>
      <c r="C97" s="7">
        <f>IF('My coding'!T7="","",'My coding'!T7)</f>
        <v/>
      </c>
      <c r="D97" s="7">
        <f>IF(Codex!T7="","",Codex!T7)</f>
        <v/>
      </c>
      <c r="E97" s="7">
        <f>IF(AND('My coding'!T7="",Codex!T7=""),"",IF(TRIM(LOWER('My coding'!T7&amp;""))=TRIM(LOWER(Codex!T7&amp;"")),"match","DIFF"))</f>
        <v/>
      </c>
      <c r="F97" s="7" t="n"/>
      <c r="G97" s="7" t="n"/>
    </row>
    <row r="98">
      <c r="A98" s="4" t="inlineStr">
        <is>
          <t>E5</t>
        </is>
      </c>
      <c r="B98" s="4" t="inlineStr">
        <is>
          <t>row_decision</t>
        </is>
      </c>
      <c r="C98" s="7">
        <f>IF('My coding'!U7="","",'My coding'!U7)</f>
        <v/>
      </c>
      <c r="D98" s="7">
        <f>IF(Codex!U7="","",Codex!U7)</f>
        <v/>
      </c>
      <c r="E98" s="7">
        <f>IF(AND('My coding'!U7="",Codex!U7=""),"",IF(TRIM(LOWER('My coding'!U7&amp;""))=TRIM(LOWER(Codex!U7&amp;"")),"match","DIFF"))</f>
        <v/>
      </c>
      <c r="F98" s="7" t="n"/>
      <c r="G98" s="7" t="n"/>
    </row>
    <row r="99">
      <c r="A99" s="4" t="inlineStr">
        <is>
          <t>E5</t>
        </is>
      </c>
      <c r="B99" s="4" t="inlineStr">
        <is>
          <t>notes</t>
        </is>
      </c>
      <c r="C99" s="7">
        <f>IF('My coding'!V7="","",'My coding'!V7)</f>
        <v/>
      </c>
      <c r="D99" s="7">
        <f>IF(Codex!V7="","",Codex!V7)</f>
        <v/>
      </c>
      <c r="E99" s="7">
        <f>IF(AND('My coding'!V7="",Codex!V7=""),"",IF(TRIM(LOWER('My coding'!V7&amp;""))=TRIM(LOWER(Codex!V7&amp;"")),"match","DIFF"))</f>
        <v/>
      </c>
      <c r="F99" s="7" t="n"/>
      <c r="G99" s="7" t="n"/>
    </row>
    <row r="100">
      <c r="A100" s="4" t="inlineStr">
        <is>
          <t>E6</t>
        </is>
      </c>
      <c r="B100" s="4" t="inlineStr">
        <is>
          <t>outcome_label</t>
        </is>
      </c>
      <c r="C100" s="7">
        <f>IF('My coding'!D8="","",'My coding'!D8)</f>
        <v/>
      </c>
      <c r="D100" s="7">
        <f>IF(Codex!D8="","",Codex!D8)</f>
        <v/>
      </c>
      <c r="E100" s="7">
        <f>IF(AND('My coding'!D8="",Codex!D8=""),"",IF(TRIM(LOWER('My coding'!D8&amp;""))=TRIM(LOWER(Codex!D8&amp;"")),"match","DIFF"))</f>
        <v/>
      </c>
      <c r="F100" s="7" t="n"/>
      <c r="G100" s="7" t="n"/>
    </row>
    <row r="101">
      <c r="A101" s="4" t="inlineStr">
        <is>
          <t>E6</t>
        </is>
      </c>
      <c r="B101" s="4" t="inlineStr">
        <is>
          <t>operationalization</t>
        </is>
      </c>
      <c r="C101" s="7">
        <f>IF('My coding'!E8="","",'My coding'!E8)</f>
        <v/>
      </c>
      <c r="D101" s="7">
        <f>IF(Codex!E8="","",Codex!E8)</f>
        <v/>
      </c>
      <c r="E101" s="7">
        <f>IF(AND('My coding'!E8="",Codex!E8=""),"",IF(TRIM(LOWER('My coding'!E8&amp;""))=TRIM(LOWER(Codex!E8&amp;"")),"match","DIFF"))</f>
        <v/>
      </c>
      <c r="F101" s="7" t="n"/>
      <c r="G101" s="7" t="n"/>
    </row>
    <row r="102">
      <c r="A102" s="4" t="inlineStr">
        <is>
          <t>E6</t>
        </is>
      </c>
      <c r="B102" s="4" t="inlineStr">
        <is>
          <t>items</t>
        </is>
      </c>
      <c r="C102" s="7">
        <f>IF('My coding'!F8="","",'My coding'!F8)</f>
        <v/>
      </c>
      <c r="D102" s="7">
        <f>IF(Codex!F8="","",Codex!F8)</f>
        <v/>
      </c>
      <c r="E102" s="7">
        <f>IF(AND('My coding'!F8="",Codex!F8=""),"",IF(TRIM(LOWER('My coding'!F8&amp;""))=TRIM(LOWER(Codex!F8&amp;"")),"match","DIFF"))</f>
        <v/>
      </c>
      <c r="F102" s="7" t="n"/>
      <c r="G102" s="7" t="n"/>
    </row>
    <row r="103">
      <c r="A103" s="4" t="inlineStr">
        <is>
          <t>E6</t>
        </is>
      </c>
      <c r="B103" s="4" t="inlineStr">
        <is>
          <t>scale_points</t>
        </is>
      </c>
      <c r="C103" s="7">
        <f>IF('My coding'!G8="","",'My coding'!G8)</f>
        <v/>
      </c>
      <c r="D103" s="7">
        <f>IF(Codex!G8="","",Codex!G8)</f>
        <v/>
      </c>
      <c r="E103" s="7">
        <f>IF(AND('My coding'!G8="",Codex!G8=""),"",IF(TRIM(LOWER('My coding'!G8&amp;""))=TRIM(LOWER(Codex!G8&amp;"")),"match","DIFF"))</f>
        <v/>
      </c>
      <c r="F103" s="7" t="n"/>
      <c r="G103" s="7" t="n"/>
    </row>
    <row r="104">
      <c r="A104" s="4" t="inlineStr">
        <is>
          <t>E6</t>
        </is>
      </c>
      <c r="B104" s="4" t="inlineStr">
        <is>
          <t>reliability</t>
        </is>
      </c>
      <c r="C104" s="7">
        <f>IF('My coding'!H8="","",'My coding'!H8)</f>
        <v/>
      </c>
      <c r="D104" s="7">
        <f>IF(Codex!H8="","",Codex!H8)</f>
        <v/>
      </c>
      <c r="E104" s="7">
        <f>IF(AND('My coding'!H8="",Codex!H8=""),"",IF(TRIM(LOWER('My coding'!H8&amp;""))=TRIM(LOWER(Codex!H8&amp;"")),"match","DIFF"))</f>
        <v/>
      </c>
      <c r="F104" s="7" t="n"/>
      <c r="G104" s="7" t="n"/>
    </row>
    <row r="105">
      <c r="A105" s="4" t="inlineStr">
        <is>
          <t>E6</t>
        </is>
      </c>
      <c r="B105" s="4" t="inlineStr">
        <is>
          <t>category</t>
        </is>
      </c>
      <c r="C105" s="7">
        <f>IF('My coding'!I8="","",'My coding'!I8)</f>
        <v/>
      </c>
      <c r="D105" s="7">
        <f>IF(Codex!I8="","",Codex!I8)</f>
        <v/>
      </c>
      <c r="E105" s="7">
        <f>IF(AND('My coding'!I8="",Codex!I8=""),"",IF(TRIM(LOWER('My coding'!I8&amp;""))=TRIM(LOWER(Codex!I8&amp;"")),"match","DIFF"))</f>
        <v/>
      </c>
      <c r="F105" s="7" t="n"/>
      <c r="G105" s="7" t="n"/>
    </row>
    <row r="106">
      <c r="A106" s="4" t="inlineStr">
        <is>
          <t>E6</t>
        </is>
      </c>
      <c r="B106" s="4" t="inlineStr">
        <is>
          <t>mean_control</t>
        </is>
      </c>
      <c r="C106" s="7">
        <f>IF('My coding'!J8="","",'My coding'!J8)</f>
        <v/>
      </c>
      <c r="D106" s="7">
        <f>IF(Codex!J8="","",Codex!J8)</f>
        <v/>
      </c>
      <c r="E106" s="7">
        <f>IF(AND('My coding'!J8="",Codex!J8=""),"",IF(TRIM(LOWER('My coding'!J8&amp;""))=TRIM(LOWER(Codex!J8&amp;"")),"match","DIFF"))</f>
        <v/>
      </c>
      <c r="F106" s="7" t="n"/>
      <c r="G106" s="7" t="n"/>
    </row>
    <row r="107">
      <c r="A107" s="4" t="inlineStr">
        <is>
          <t>E6</t>
        </is>
      </c>
      <c r="B107" s="4" t="inlineStr">
        <is>
          <t>mean_treatment</t>
        </is>
      </c>
      <c r="C107" s="7">
        <f>IF('My coding'!K8="","",'My coding'!K8)</f>
        <v/>
      </c>
      <c r="D107" s="7">
        <f>IF(Codex!K8="","",Codex!K8)</f>
        <v/>
      </c>
      <c r="E107" s="7">
        <f>IF(AND('My coding'!K8="",Codex!K8=""),"",IF(TRIM(LOWER('My coding'!K8&amp;""))=TRIM(LOWER(Codex!K8&amp;"")),"match","DIFF"))</f>
        <v/>
      </c>
      <c r="F107" s="7" t="n"/>
      <c r="G107" s="7" t="n"/>
    </row>
    <row r="108">
      <c r="A108" s="4" t="inlineStr">
        <is>
          <t>E6</t>
        </is>
      </c>
      <c r="B108" s="4" t="inlineStr">
        <is>
          <t>statistic</t>
        </is>
      </c>
      <c r="C108" s="7">
        <f>IF('My coding'!L8="","",'My coding'!L8)</f>
        <v/>
      </c>
      <c r="D108" s="7">
        <f>IF(Codex!L8="","",Codex!L8)</f>
        <v/>
      </c>
      <c r="E108" s="7">
        <f>IF(AND('My coding'!L8="",Codex!L8=""),"",IF(TRIM(LOWER('My coding'!L8&amp;""))=TRIM(LOWER(Codex!L8&amp;"")),"match","DIFF"))</f>
        <v/>
      </c>
      <c r="F108" s="7" t="n"/>
      <c r="G108" s="7" t="n"/>
    </row>
    <row r="109">
      <c r="A109" s="4" t="inlineStr">
        <is>
          <t>E6</t>
        </is>
      </c>
      <c r="B109" s="4" t="inlineStr">
        <is>
          <t>stat_value</t>
        </is>
      </c>
      <c r="C109" s="7">
        <f>IF('My coding'!M8="","",'My coding'!M8)</f>
        <v/>
      </c>
      <c r="D109" s="7">
        <f>IF(Codex!M8="","",Codex!M8)</f>
        <v/>
      </c>
      <c r="E109" s="7">
        <f>IF(AND('My coding'!M8="",Codex!M8=""),"",IF(TRIM(LOWER('My coding'!M8&amp;""))=TRIM(LOWER(Codex!M8&amp;"")),"match","DIFF"))</f>
        <v/>
      </c>
      <c r="F109" s="7" t="n"/>
      <c r="G109" s="7" t="n"/>
    </row>
    <row r="110">
      <c r="A110" s="4" t="inlineStr">
        <is>
          <t>E6</t>
        </is>
      </c>
      <c r="B110" s="4" t="inlineStr">
        <is>
          <t>df</t>
        </is>
      </c>
      <c r="C110" s="7">
        <f>IF('My coding'!N8="","",'My coding'!N8)</f>
        <v/>
      </c>
      <c r="D110" s="7">
        <f>IF(Codex!N8="","",Codex!N8)</f>
        <v/>
      </c>
      <c r="E110" s="7">
        <f>IF(AND('My coding'!N8="",Codex!N8=""),"",IF(TRIM(LOWER('My coding'!N8&amp;""))=TRIM(LOWER(Codex!N8&amp;"")),"match","DIFF"))</f>
        <v/>
      </c>
      <c r="F110" s="7" t="n"/>
      <c r="G110" s="7" t="n"/>
    </row>
    <row r="111">
      <c r="A111" s="4" t="inlineStr">
        <is>
          <t>E6</t>
        </is>
      </c>
      <c r="B111" s="4" t="inlineStr">
        <is>
          <t>n_effect</t>
        </is>
      </c>
      <c r="C111" s="7">
        <f>IF('My coding'!O8="","",'My coding'!O8)</f>
        <v/>
      </c>
      <c r="D111" s="7">
        <f>IF(Codex!O8="","",Codex!O8)</f>
        <v/>
      </c>
      <c r="E111" s="7">
        <f>IF(AND('My coding'!O8="",Codex!O8=""),"",IF(TRIM(LOWER('My coding'!O8&amp;""))=TRIM(LOWER(Codex!O8&amp;"")),"match","DIFF"))</f>
        <v/>
      </c>
      <c r="F111" s="7" t="n"/>
      <c r="G111" s="7" t="n"/>
    </row>
    <row r="112">
      <c r="A112" s="4" t="inlineStr">
        <is>
          <t>E6</t>
        </is>
      </c>
      <c r="B112" s="4" t="inlineStr">
        <is>
          <t>n_source</t>
        </is>
      </c>
      <c r="C112" s="7">
        <f>IF('My coding'!P8="","",'My coding'!P8)</f>
        <v/>
      </c>
      <c r="D112" s="7">
        <f>IF(Codex!P8="","",Codex!P8)</f>
        <v/>
      </c>
      <c r="E112" s="7">
        <f>IF(AND('My coding'!P8="",Codex!P8=""),"",IF(TRIM(LOWER('My coding'!P8&amp;""))=TRIM(LOWER(Codex!P8&amp;"")),"match","DIFF"))</f>
        <v/>
      </c>
      <c r="F112" s="7" t="n"/>
      <c r="G112" s="7" t="n"/>
    </row>
    <row r="113">
      <c r="A113" s="4" t="inlineStr">
        <is>
          <t>E6</t>
        </is>
      </c>
      <c r="B113" s="4" t="inlineStr">
        <is>
          <t>direction</t>
        </is>
      </c>
      <c r="C113" s="7">
        <f>IF('My coding'!Q8="","",'My coding'!Q8)</f>
        <v/>
      </c>
      <c r="D113" s="7">
        <f>IF(Codex!Q8="","",Codex!Q8)</f>
        <v/>
      </c>
      <c r="E113" s="7">
        <f>IF(AND('My coding'!Q8="",Codex!Q8=""),"",IF(TRIM(LOWER('My coding'!Q8&amp;""))=TRIM(LOWER(Codex!Q8&amp;"")),"match","DIFF"))</f>
        <v/>
      </c>
      <c r="F113" s="7" t="n"/>
      <c r="G113" s="7" t="n"/>
    </row>
    <row r="114">
      <c r="A114" s="4" t="inlineStr">
        <is>
          <t>E6</t>
        </is>
      </c>
      <c r="B114" s="4" t="inlineStr">
        <is>
          <t>p_as_printed</t>
        </is>
      </c>
      <c r="C114" s="7">
        <f>IF('My coding'!R8="","",'My coding'!R8)</f>
        <v/>
      </c>
      <c r="D114" s="7">
        <f>IF(Codex!R8="","",Codex!R8)</f>
        <v/>
      </c>
      <c r="E114" s="7">
        <f>IF(AND('My coding'!R8="",Codex!R8=""),"",IF(TRIM(LOWER('My coding'!R8&amp;""))=TRIM(LOWER(Codex!R8&amp;"")),"match","DIFF"))</f>
        <v/>
      </c>
      <c r="F114" s="7" t="n"/>
      <c r="G114" s="7" t="n"/>
    </row>
    <row r="115">
      <c r="A115" s="4" t="inlineStr">
        <is>
          <t>E6</t>
        </is>
      </c>
      <c r="B115" s="4" t="inlineStr">
        <is>
          <t>where_printed</t>
        </is>
      </c>
      <c r="C115" s="7">
        <f>IF('My coding'!S8="","",'My coding'!S8)</f>
        <v/>
      </c>
      <c r="D115" s="7">
        <f>IF(Codex!S8="","",Codex!S8)</f>
        <v/>
      </c>
      <c r="E115" s="7">
        <f>IF(AND('My coding'!S8="",Codex!S8=""),"",IF(TRIM(LOWER('My coding'!S8&amp;""))=TRIM(LOWER(Codex!S8&amp;"")),"match","DIFF"))</f>
        <v/>
      </c>
      <c r="F115" s="7" t="n"/>
      <c r="G115" s="7" t="n"/>
    </row>
    <row r="116">
      <c r="A116" s="4" t="inlineStr">
        <is>
          <t>E6</t>
        </is>
      </c>
      <c r="B116" s="4" t="inlineStr">
        <is>
          <t>printed_page</t>
        </is>
      </c>
      <c r="C116" s="7">
        <f>IF('My coding'!T8="","",'My coding'!T8)</f>
        <v/>
      </c>
      <c r="D116" s="7">
        <f>IF(Codex!T8="","",Codex!T8)</f>
        <v/>
      </c>
      <c r="E116" s="7">
        <f>IF(AND('My coding'!T8="",Codex!T8=""),"",IF(TRIM(LOWER('My coding'!T8&amp;""))=TRIM(LOWER(Codex!T8&amp;"")),"match","DIFF"))</f>
        <v/>
      </c>
      <c r="F116" s="7" t="n"/>
      <c r="G116" s="7" t="n"/>
    </row>
    <row r="117">
      <c r="A117" s="4" t="inlineStr">
        <is>
          <t>E6</t>
        </is>
      </c>
      <c r="B117" s="4" t="inlineStr">
        <is>
          <t>row_decision</t>
        </is>
      </c>
      <c r="C117" s="7">
        <f>IF('My coding'!U8="","",'My coding'!U8)</f>
        <v/>
      </c>
      <c r="D117" s="7">
        <f>IF(Codex!U8="","",Codex!U8)</f>
        <v/>
      </c>
      <c r="E117" s="7">
        <f>IF(AND('My coding'!U8="",Codex!U8=""),"",IF(TRIM(LOWER('My coding'!U8&amp;""))=TRIM(LOWER(Codex!U8&amp;"")),"match","DIFF"))</f>
        <v/>
      </c>
      <c r="F117" s="7" t="n"/>
      <c r="G117" s="7" t="n"/>
    </row>
    <row r="118">
      <c r="A118" s="4" t="inlineStr">
        <is>
          <t>E6</t>
        </is>
      </c>
      <c r="B118" s="4" t="inlineStr">
        <is>
          <t>notes</t>
        </is>
      </c>
      <c r="C118" s="7">
        <f>IF('My coding'!V8="","",'My coding'!V8)</f>
        <v/>
      </c>
      <c r="D118" s="7">
        <f>IF(Codex!V8="","",Codex!V8)</f>
        <v/>
      </c>
      <c r="E118" s="7">
        <f>IF(AND('My coding'!V8="",Codex!V8=""),"",IF(TRIM(LOWER('My coding'!V8&amp;""))=TRIM(LOWER(Codex!V8&amp;"")),"match","DIFF"))</f>
        <v/>
      </c>
      <c r="F118" s="7" t="n"/>
      <c r="G118" s="7" t="n"/>
    </row>
  </sheetData>
  <conditionalFormatting sqref="A5:G118">
    <cfRule type="expression" priority="1" dxfId="0">
      <formula>$E5="DIFF"</formula>
    </cfRule>
  </conditionalFormatting>
  <dataValidations count="1">
    <dataValidation sqref="G5:G118" showDropDown="0" showInputMessage="0" showErrorMessage="0" allowBlank="1" type="list">
      <formula1>"me,Codex,both wrong,unclear"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2026-10-25T21:19:37Z</dcterms:created>
  <dcterms:modified xmlns:dcterms="http://purl.org/dc/terms/" xmlns:xsi="http://www.w3.org/2001/XMLSchema-instance" xsi:type="dcterms:W3CDTF">2026-10-25T21:19:37Z</dcterms:modified>
</cp:coreProperties>
</file>